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4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MATLAB e indentificazione parametri\"/>
    </mc:Choice>
  </mc:AlternateContent>
  <xr:revisionPtr revIDLastSave="0" documentId="11_19AE1AB27E682BA60D15F98D7E00C28832982BD3" xr6:coauthVersionLast="47" xr6:coauthVersionMax="47" xr10:uidLastSave="{00000000-0000-0000-0000-000000000000}"/>
  <bookViews>
    <workbookView xWindow="8340" yWindow="0" windowWidth="18090" windowHeight="8715" xr2:uid="{00000000-000D-0000-FFFF-FFFF00000000}"/>
  </bookViews>
  <sheets>
    <sheet name="Sheet1" sheetId="1" r:id="rId1"/>
    <sheet name="Sheet2" sheetId="2" r:id="rId2"/>
    <sheet name="Sheet3" sheetId="3" r:id="rId3"/>
  </sheets>
  <definedNames>
    <definedName name="ObjFuncCell" localSheetId="0">Sheet1!$F$1</definedName>
    <definedName name="ParameterRange" localSheetId="0">Sheet1!$B$6</definedName>
    <definedName name="PredictionRange" localSheetId="0">Sheet1!$C$11:$C$46</definedName>
    <definedName name="solver_adj" localSheetId="0" hidden="1">Sheet1!$B$3,Sheet1!$B$4,Sheet1!$B$6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Sheet1!$B$3</definedName>
    <definedName name="solver_lhs2" localSheetId="0" hidden="1">Sheet1!$B$3</definedName>
    <definedName name="solver_lhs3" localSheetId="0" hidden="1">Sheet1!$B$6</definedName>
    <definedName name="solver_lhs4" localSheetId="0" hidden="1">Sheet1!$B$6</definedName>
    <definedName name="solver_lhs5" localSheetId="0" hidden="1">Sheet1!$B$6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4</definedName>
    <definedName name="solver_nwt" localSheetId="0" hidden="1">1</definedName>
    <definedName name="solver_opt" localSheetId="0" hidden="1">Sheet1!$F$1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3</definedName>
    <definedName name="solver_rel3" localSheetId="0" hidden="1">1</definedName>
    <definedName name="solver_rel4" localSheetId="0" hidden="1">3</definedName>
    <definedName name="solver_rel5" localSheetId="0" hidden="1">3</definedName>
    <definedName name="solver_rhs1" localSheetId="0" hidden="1">100</definedName>
    <definedName name="solver_rhs2" localSheetId="0" hidden="1">0.0001</definedName>
    <definedName name="solver_rhs3" localSheetId="0" hidden="1">Sheet1!$D$6</definedName>
    <definedName name="solver_rhs4" localSheetId="0" hidden="1">Sheet1!$C$6</definedName>
    <definedName name="solver_rhs5" localSheetId="0" hidden="1">Sheet1!$C$6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4" i="1" l="1"/>
  <c r="C20" i="1"/>
  <c r="C30" i="1"/>
  <c r="C26" i="1"/>
  <c r="C27" i="1"/>
  <c r="C15" i="1"/>
  <c r="C46" i="1"/>
  <c r="C25" i="1"/>
  <c r="C40" i="1"/>
  <c r="C45" i="1"/>
  <c r="C21" i="1"/>
  <c r="C11" i="1"/>
  <c r="C19" i="1"/>
  <c r="C28" i="1"/>
  <c r="C14" i="1"/>
  <c r="C24" i="1"/>
  <c r="C35" i="1"/>
  <c r="C38" i="1"/>
  <c r="C17" i="1"/>
  <c r="C31" i="1"/>
  <c r="C12" i="1"/>
  <c r="C42" i="1"/>
  <c r="C18" i="1"/>
  <c r="C39" i="1"/>
  <c r="C32" i="1"/>
  <c r="C16" i="1"/>
  <c r="C34" i="1"/>
  <c r="C23" i="1"/>
  <c r="C41" i="1"/>
  <c r="C29" i="1"/>
  <c r="C43" i="1"/>
  <c r="C36" i="1"/>
  <c r="C13" i="1"/>
  <c r="C22" i="1"/>
  <c r="C37" i="1"/>
  <c r="C33" i="1"/>
  <c r="D33" i="1" l="1"/>
  <c r="E33" i="1" s="1"/>
  <c r="D37" i="1"/>
  <c r="E37" i="1" s="1"/>
  <c r="D22" i="1"/>
  <c r="E22" i="1" s="1"/>
  <c r="D13" i="1"/>
  <c r="E13" i="1" s="1"/>
  <c r="D36" i="1"/>
  <c r="E36" i="1" s="1"/>
  <c r="D43" i="1"/>
  <c r="E43" i="1" s="1"/>
  <c r="D29" i="1"/>
  <c r="E29" i="1" s="1"/>
  <c r="D41" i="1"/>
  <c r="E41" i="1" s="1"/>
  <c r="D23" i="1"/>
  <c r="E23" i="1" s="1"/>
  <c r="D34" i="1"/>
  <c r="E34" i="1" s="1"/>
  <c r="D16" i="1"/>
  <c r="E16" i="1" s="1"/>
  <c r="D32" i="1"/>
  <c r="E32" i="1" s="1"/>
  <c r="D39" i="1"/>
  <c r="E39" i="1" s="1"/>
  <c r="D18" i="1"/>
  <c r="E18" i="1" s="1"/>
  <c r="D42" i="1"/>
  <c r="E42" i="1" s="1"/>
  <c r="D12" i="1"/>
  <c r="E12" i="1" s="1"/>
  <c r="D31" i="1"/>
  <c r="E31" i="1" s="1"/>
  <c r="D17" i="1"/>
  <c r="E17" i="1" s="1"/>
  <c r="D38" i="1"/>
  <c r="E38" i="1" s="1"/>
  <c r="D35" i="1"/>
  <c r="E35" i="1" s="1"/>
  <c r="D24" i="1"/>
  <c r="E24" i="1" s="1"/>
  <c r="D14" i="1"/>
  <c r="E14" i="1" s="1"/>
  <c r="D28" i="1"/>
  <c r="E28" i="1" s="1"/>
  <c r="D19" i="1"/>
  <c r="E19" i="1" s="1"/>
  <c r="D11" i="1"/>
  <c r="D21" i="1"/>
  <c r="E21" i="1" s="1"/>
  <c r="D45" i="1"/>
  <c r="E45" i="1" s="1"/>
  <c r="D40" i="1"/>
  <c r="E40" i="1" s="1"/>
  <c r="D25" i="1"/>
  <c r="E25" i="1" s="1"/>
  <c r="D46" i="1"/>
  <c r="E46" i="1" s="1"/>
  <c r="D15" i="1"/>
  <c r="E15" i="1" s="1"/>
  <c r="D27" i="1"/>
  <c r="E27" i="1" s="1"/>
  <c r="D26" i="1"/>
  <c r="E26" i="1" s="1"/>
  <c r="D30" i="1"/>
  <c r="E30" i="1" s="1"/>
  <c r="D20" i="1"/>
  <c r="E20" i="1" s="1"/>
  <c r="D44" i="1"/>
  <c r="E44" i="1" s="1"/>
  <c r="E11" i="1" l="1"/>
  <c r="F1" i="1"/>
</calcChain>
</file>

<file path=xl/sharedStrings.xml><?xml version="1.0" encoding="utf-8"?>
<sst xmlns="http://schemas.openxmlformats.org/spreadsheetml/2006/main" count="21" uniqueCount="21">
  <si>
    <t>SSR</t>
  </si>
  <si>
    <t>L</t>
  </si>
  <si>
    <t xml:space="preserve">cm </t>
  </si>
  <si>
    <t>v</t>
  </si>
  <si>
    <t>cm /min</t>
  </si>
  <si>
    <t>pore velocity</t>
  </si>
  <si>
    <t>T0</t>
  </si>
  <si>
    <t>pore volume</t>
  </si>
  <si>
    <t>source time interval</t>
  </si>
  <si>
    <t>Min</t>
  </si>
  <si>
    <t>Max</t>
  </si>
  <si>
    <t>alfa</t>
  </si>
  <si>
    <t>dispersivity cm</t>
  </si>
  <si>
    <t>PV</t>
  </si>
  <si>
    <t>C/C0</t>
  </si>
  <si>
    <t>prediction</t>
  </si>
  <si>
    <t>residuals</t>
  </si>
  <si>
    <t xml:space="preserve">PV= pore volume </t>
  </si>
  <si>
    <t>PV=t/T= t*Vd/(L*n)</t>
  </si>
  <si>
    <t>meaning :</t>
  </si>
  <si>
    <t>Time as a multiple of  time required by the water content to cross the column (T)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</si>
</sst>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00000000000000"/>
  </numFmts>
  <fonts count="3">
    <font>
      <sz val="11"/>
      <color theme="1"/>
      <name val="Calibri"/>
      <family val="2"/>
      <scheme val="minor"/>
    </font>
    <font>
      <sz val="10"/>
      <name val="Arial"/>
      <family val="2"/>
    </font>
    <font>
      <i/>
      <sz val="12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7">
    <xf numFmtId="0" fontId="0" fillId="0" borderId="0" xfId="0"/>
    <xf numFmtId="0" fontId="1" fillId="0" borderId="0" xfId="1"/>
    <xf numFmtId="164" fontId="1" fillId="2" borderId="0" xfId="1" applyNumberFormat="1" applyFill="1" applyAlignment="1">
      <alignment horizontal="center"/>
    </xf>
    <xf numFmtId="0" fontId="2" fillId="0" borderId="0" xfId="0" applyFont="1"/>
    <xf numFmtId="164" fontId="2" fillId="0" borderId="0" xfId="0" applyNumberFormat="1" applyFont="1"/>
    <xf numFmtId="165" fontId="0" fillId="0" borderId="0" xfId="0" applyNumberFormat="1"/>
    <xf numFmtId="165" fontId="2" fillId="0" borderId="0" xfId="0" applyNumberFormat="1" applyFont="1"/>
  </cellXfs>
  <cellStyles count="2">
    <cellStyle name="Normale" xfId="0" builtinId="0"/>
    <cellStyle name="Normale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exp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Sheet1!$A$11:$A$46</c:f>
              <c:numCache>
                <c:formatCode>0.000</c:formatCode>
                <c:ptCount val="36"/>
                <c:pt idx="0">
                  <c:v>0.51200000000000001</c:v>
                </c:pt>
                <c:pt idx="1">
                  <c:v>0.59899999999999998</c:v>
                </c:pt>
                <c:pt idx="2">
                  <c:v>0.68600000000000005</c:v>
                </c:pt>
                <c:pt idx="3">
                  <c:v>0.73</c:v>
                </c:pt>
                <c:pt idx="4">
                  <c:v>0.81699999999999995</c:v>
                </c:pt>
                <c:pt idx="5">
                  <c:v>0.90400000000000003</c:v>
                </c:pt>
                <c:pt idx="6">
                  <c:v>0.99199999999999999</c:v>
                </c:pt>
                <c:pt idx="7">
                  <c:v>1.079</c:v>
                </c:pt>
                <c:pt idx="8">
                  <c:v>1.1659999999999999</c:v>
                </c:pt>
                <c:pt idx="9">
                  <c:v>1.2529999999999999</c:v>
                </c:pt>
                <c:pt idx="10">
                  <c:v>1.34</c:v>
                </c:pt>
                <c:pt idx="11">
                  <c:v>1.4279999999999999</c:v>
                </c:pt>
                <c:pt idx="12">
                  <c:v>1.5580000000000001</c:v>
                </c:pt>
                <c:pt idx="13">
                  <c:v>1.6459999999999999</c:v>
                </c:pt>
                <c:pt idx="14">
                  <c:v>1.754</c:v>
                </c:pt>
                <c:pt idx="15">
                  <c:v>2.016</c:v>
                </c:pt>
                <c:pt idx="16">
                  <c:v>2.6040000000000001</c:v>
                </c:pt>
                <c:pt idx="17">
                  <c:v>3.125</c:v>
                </c:pt>
                <c:pt idx="18">
                  <c:v>3.3420000000000001</c:v>
                </c:pt>
                <c:pt idx="19">
                  <c:v>3.516</c:v>
                </c:pt>
                <c:pt idx="20">
                  <c:v>3.7120000000000002</c:v>
                </c:pt>
                <c:pt idx="21">
                  <c:v>3.8420000000000001</c:v>
                </c:pt>
                <c:pt idx="22">
                  <c:v>3.9510000000000001</c:v>
                </c:pt>
                <c:pt idx="23">
                  <c:v>4.0380000000000003</c:v>
                </c:pt>
                <c:pt idx="24">
                  <c:v>4.125</c:v>
                </c:pt>
                <c:pt idx="25">
                  <c:v>4.2549999999999999</c:v>
                </c:pt>
                <c:pt idx="26">
                  <c:v>4.3860000000000001</c:v>
                </c:pt>
                <c:pt idx="27">
                  <c:v>4.516</c:v>
                </c:pt>
                <c:pt idx="28">
                  <c:v>4.7770000000000001</c:v>
                </c:pt>
                <c:pt idx="29">
                  <c:v>5.0369999999999999</c:v>
                </c:pt>
                <c:pt idx="30">
                  <c:v>5.3849999999999998</c:v>
                </c:pt>
                <c:pt idx="31">
                  <c:v>5.8179999999999996</c:v>
                </c:pt>
                <c:pt idx="32">
                  <c:v>6.2510000000000003</c:v>
                </c:pt>
                <c:pt idx="33">
                  <c:v>6.7910000000000004</c:v>
                </c:pt>
                <c:pt idx="34">
                  <c:v>7.3310000000000004</c:v>
                </c:pt>
                <c:pt idx="35">
                  <c:v>7.4390000000000001</c:v>
                </c:pt>
              </c:numCache>
            </c:numRef>
          </c:xVal>
          <c:yVal>
            <c:numRef>
              <c:f>Sheet1!$B$11:$B$46</c:f>
              <c:numCache>
                <c:formatCode>0.000</c:formatCode>
                <c:ptCount val="36"/>
                <c:pt idx="0">
                  <c:v>1E-3</c:v>
                </c:pt>
                <c:pt idx="1">
                  <c:v>1.6E-2</c:v>
                </c:pt>
                <c:pt idx="2">
                  <c:v>8.2000000000000003E-2</c:v>
                </c:pt>
                <c:pt idx="3">
                  <c:v>0.13800000000000001</c:v>
                </c:pt>
                <c:pt idx="4">
                  <c:v>0.29599999999999999</c:v>
                </c:pt>
                <c:pt idx="5">
                  <c:v>0.46500000000000002</c:v>
                </c:pt>
                <c:pt idx="6">
                  <c:v>0.59299999999999997</c:v>
                </c:pt>
                <c:pt idx="7">
                  <c:v>0.68500000000000005</c:v>
                </c:pt>
                <c:pt idx="8">
                  <c:v>0.76400000000000001</c:v>
                </c:pt>
                <c:pt idx="9">
                  <c:v>0.80600000000000005</c:v>
                </c:pt>
                <c:pt idx="10">
                  <c:v>0.85</c:v>
                </c:pt>
                <c:pt idx="11">
                  <c:v>0.90100000000000002</c:v>
                </c:pt>
                <c:pt idx="12">
                  <c:v>0.91500000000000004</c:v>
                </c:pt>
                <c:pt idx="13">
                  <c:v>0.92300000000000004</c:v>
                </c:pt>
                <c:pt idx="14">
                  <c:v>0.94699999999999995</c:v>
                </c:pt>
                <c:pt idx="15">
                  <c:v>0.96699999999999997</c:v>
                </c:pt>
                <c:pt idx="16">
                  <c:v>0.98099999999999998</c:v>
                </c:pt>
                <c:pt idx="17">
                  <c:v>1</c:v>
                </c:pt>
                <c:pt idx="18">
                  <c:v>0.98599999999999999</c:v>
                </c:pt>
                <c:pt idx="19">
                  <c:v>1.0149999999999999</c:v>
                </c:pt>
                <c:pt idx="20">
                  <c:v>0.97099999999999997</c:v>
                </c:pt>
                <c:pt idx="21">
                  <c:v>0.83799999999999997</c:v>
                </c:pt>
                <c:pt idx="22">
                  <c:v>0.63800000000000001</c:v>
                </c:pt>
                <c:pt idx="23">
                  <c:v>0.48</c:v>
                </c:pt>
                <c:pt idx="24">
                  <c:v>0.35299999999999998</c:v>
                </c:pt>
                <c:pt idx="25">
                  <c:v>0.23599999999999999</c:v>
                </c:pt>
                <c:pt idx="26">
                  <c:v>0.16600000000000001</c:v>
                </c:pt>
                <c:pt idx="27">
                  <c:v>0.11799999999999999</c:v>
                </c:pt>
                <c:pt idx="28">
                  <c:v>6.6000000000000003E-2</c:v>
                </c:pt>
                <c:pt idx="29">
                  <c:v>3.7999999999999999E-2</c:v>
                </c:pt>
                <c:pt idx="30">
                  <c:v>1.7999999999999999E-2</c:v>
                </c:pt>
                <c:pt idx="31">
                  <c:v>8.0000000000000002E-3</c:v>
                </c:pt>
                <c:pt idx="32">
                  <c:v>4.0000000000000001E-3</c:v>
                </c:pt>
                <c:pt idx="33">
                  <c:v>2E-3</c:v>
                </c:pt>
                <c:pt idx="34">
                  <c:v>6.0000000000000001E-3</c:v>
                </c:pt>
                <c:pt idx="35">
                  <c:v>2.9999999999999997E-4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73D-4A0F-99F0-8603DA8E7E2A}"/>
            </c:ext>
          </c:extLst>
        </c:ser>
        <c:ser>
          <c:idx val="1"/>
          <c:order val="1"/>
          <c:tx>
            <c:v>prediction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Sheet1!$A$11:$A$46</c:f>
              <c:numCache>
                <c:formatCode>0.000</c:formatCode>
                <c:ptCount val="36"/>
                <c:pt idx="0">
                  <c:v>0.51200000000000001</c:v>
                </c:pt>
                <c:pt idx="1">
                  <c:v>0.59899999999999998</c:v>
                </c:pt>
                <c:pt idx="2">
                  <c:v>0.68600000000000005</c:v>
                </c:pt>
                <c:pt idx="3">
                  <c:v>0.73</c:v>
                </c:pt>
                <c:pt idx="4">
                  <c:v>0.81699999999999995</c:v>
                </c:pt>
                <c:pt idx="5">
                  <c:v>0.90400000000000003</c:v>
                </c:pt>
                <c:pt idx="6">
                  <c:v>0.99199999999999999</c:v>
                </c:pt>
                <c:pt idx="7">
                  <c:v>1.079</c:v>
                </c:pt>
                <c:pt idx="8">
                  <c:v>1.1659999999999999</c:v>
                </c:pt>
                <c:pt idx="9">
                  <c:v>1.2529999999999999</c:v>
                </c:pt>
                <c:pt idx="10">
                  <c:v>1.34</c:v>
                </c:pt>
                <c:pt idx="11">
                  <c:v>1.4279999999999999</c:v>
                </c:pt>
                <c:pt idx="12">
                  <c:v>1.5580000000000001</c:v>
                </c:pt>
                <c:pt idx="13">
                  <c:v>1.6459999999999999</c:v>
                </c:pt>
                <c:pt idx="14">
                  <c:v>1.754</c:v>
                </c:pt>
                <c:pt idx="15">
                  <c:v>2.016</c:v>
                </c:pt>
                <c:pt idx="16">
                  <c:v>2.6040000000000001</c:v>
                </c:pt>
                <c:pt idx="17">
                  <c:v>3.125</c:v>
                </c:pt>
                <c:pt idx="18">
                  <c:v>3.3420000000000001</c:v>
                </c:pt>
                <c:pt idx="19">
                  <c:v>3.516</c:v>
                </c:pt>
                <c:pt idx="20">
                  <c:v>3.7120000000000002</c:v>
                </c:pt>
                <c:pt idx="21">
                  <c:v>3.8420000000000001</c:v>
                </c:pt>
                <c:pt idx="22">
                  <c:v>3.9510000000000001</c:v>
                </c:pt>
                <c:pt idx="23">
                  <c:v>4.0380000000000003</c:v>
                </c:pt>
                <c:pt idx="24">
                  <c:v>4.125</c:v>
                </c:pt>
                <c:pt idx="25">
                  <c:v>4.2549999999999999</c:v>
                </c:pt>
                <c:pt idx="26">
                  <c:v>4.3860000000000001</c:v>
                </c:pt>
                <c:pt idx="27">
                  <c:v>4.516</c:v>
                </c:pt>
                <c:pt idx="28">
                  <c:v>4.7770000000000001</c:v>
                </c:pt>
                <c:pt idx="29">
                  <c:v>5.0369999999999999</c:v>
                </c:pt>
                <c:pt idx="30">
                  <c:v>5.3849999999999998</c:v>
                </c:pt>
                <c:pt idx="31">
                  <c:v>5.8179999999999996</c:v>
                </c:pt>
                <c:pt idx="32">
                  <c:v>6.2510000000000003</c:v>
                </c:pt>
                <c:pt idx="33">
                  <c:v>6.7910000000000004</c:v>
                </c:pt>
                <c:pt idx="34">
                  <c:v>7.3310000000000004</c:v>
                </c:pt>
                <c:pt idx="35">
                  <c:v>7.4390000000000001</c:v>
                </c:pt>
              </c:numCache>
            </c:numRef>
          </c:xVal>
          <c:yVal>
            <c:numRef>
              <c:f>Sheet1!$C$11:$C$46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73D-4A0F-99F0-8603DA8E7E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9933151"/>
        <c:axId val="1689938143"/>
      </c:scatterChart>
      <c:valAx>
        <c:axId val="16899331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9938143"/>
        <c:crosses val="autoZero"/>
        <c:crossBetween val="midCat"/>
      </c:valAx>
      <c:valAx>
        <c:axId val="1689938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99331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1057275</xdr:colOff>
      <xdr:row>4</xdr:row>
      <xdr:rowOff>42862</xdr:rowOff>
    </xdr:from>
    <xdr:to>
      <xdr:col>12</xdr:col>
      <xdr:colOff>333375</xdr:colOff>
      <xdr:row>18</xdr:row>
      <xdr:rowOff>42862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46"/>
  <sheetViews>
    <sheetView tabSelected="1" workbookViewId="0">
      <selection activeCell="F1" sqref="F1"/>
    </sheetView>
  </sheetViews>
  <sheetFormatPr defaultRowHeight="15"/>
  <cols>
    <col min="3" max="3" width="12.7109375" customWidth="1"/>
    <col min="4" max="4" width="15.28515625" customWidth="1"/>
    <col min="5" max="5" width="22.85546875" customWidth="1"/>
    <col min="6" max="6" width="24.5703125" bestFit="1" customWidth="1"/>
  </cols>
  <sheetData>
    <row r="1" spans="1:6" ht="15.75">
      <c r="E1" t="s">
        <v>0</v>
      </c>
      <c r="F1" s="6" t="e">
        <f ca="1" xml:space="preserve"> SUMSQ(D11:D46)</f>
        <v>#NAME?</v>
      </c>
    </row>
    <row r="2" spans="1:6">
      <c r="A2" t="s">
        <v>1</v>
      </c>
      <c r="B2">
        <v>30</v>
      </c>
      <c r="C2" t="s">
        <v>2</v>
      </c>
    </row>
    <row r="3" spans="1:6">
      <c r="A3" t="s">
        <v>3</v>
      </c>
      <c r="B3">
        <v>6.8195788549645373</v>
      </c>
      <c r="C3" t="s">
        <v>4</v>
      </c>
      <c r="D3" t="s">
        <v>5</v>
      </c>
    </row>
    <row r="4" spans="1:6">
      <c r="A4" t="s">
        <v>6</v>
      </c>
      <c r="B4">
        <v>3.0872818503904473</v>
      </c>
      <c r="C4" t="s">
        <v>7</v>
      </c>
      <c r="E4" t="s">
        <v>8</v>
      </c>
    </row>
    <row r="5" spans="1:6">
      <c r="C5" t="s">
        <v>9</v>
      </c>
      <c r="D5" t="s">
        <v>10</v>
      </c>
    </row>
    <row r="6" spans="1:6">
      <c r="A6" t="s">
        <v>11</v>
      </c>
      <c r="B6">
        <v>59.892647358606268</v>
      </c>
      <c r="C6">
        <v>1.0000000000000001E-5</v>
      </c>
      <c r="D6">
        <v>10000</v>
      </c>
      <c r="E6" t="s">
        <v>12</v>
      </c>
    </row>
    <row r="10" spans="1:6">
      <c r="A10" s="1" t="s">
        <v>13</v>
      </c>
      <c r="B10" s="1" t="s">
        <v>14</v>
      </c>
      <c r="C10" t="s">
        <v>15</v>
      </c>
      <c r="D10" t="s">
        <v>16</v>
      </c>
    </row>
    <row r="11" spans="1:6" ht="15.75">
      <c r="A11" s="2">
        <v>0.51200000000000001</v>
      </c>
      <c r="B11" s="2">
        <v>1E-3</v>
      </c>
      <c r="C11" s="3" t="e">
        <f t="shared" ref="C11:C46" ca="1" si="0" xml:space="preserve"> CDE($B$3,A11,$B$4,$B$3,$B$6/$B$2)</f>
        <v>#NAME?</v>
      </c>
      <c r="D11" s="4" t="e">
        <f ca="1">B11-C11</f>
        <v>#NAME?</v>
      </c>
      <c r="E11" s="5" t="e">
        <f ca="1">D11^2</f>
        <v>#NAME?</v>
      </c>
    </row>
    <row r="12" spans="1:6" ht="15.75">
      <c r="A12" s="2">
        <v>0.59899999999999998</v>
      </c>
      <c r="B12" s="2">
        <v>1.6E-2</v>
      </c>
      <c r="C12" s="3" t="e">
        <f t="shared" ca="1" si="0"/>
        <v>#NAME?</v>
      </c>
      <c r="D12" s="4" t="e">
        <f t="shared" ref="D12:D46" ca="1" si="1">B12-C12</f>
        <v>#NAME?</v>
      </c>
      <c r="E12" s="5" t="e">
        <f t="shared" ref="E12:E46" ca="1" si="2">D12^2</f>
        <v>#NAME?</v>
      </c>
    </row>
    <row r="13" spans="1:6" ht="15.75">
      <c r="A13" s="2">
        <v>0.68600000000000005</v>
      </c>
      <c r="B13" s="2">
        <v>8.2000000000000003E-2</v>
      </c>
      <c r="C13" s="3" t="e">
        <f t="shared" ca="1" si="0"/>
        <v>#NAME?</v>
      </c>
      <c r="D13" s="4" t="e">
        <f t="shared" ca="1" si="1"/>
        <v>#NAME?</v>
      </c>
      <c r="E13" s="5" t="e">
        <f t="shared" ca="1" si="2"/>
        <v>#NAME?</v>
      </c>
    </row>
    <row r="14" spans="1:6" ht="15.75">
      <c r="A14" s="2">
        <v>0.73</v>
      </c>
      <c r="B14" s="2">
        <v>0.13800000000000001</v>
      </c>
      <c r="C14" s="3" t="e">
        <f t="shared" ca="1" si="0"/>
        <v>#NAME?</v>
      </c>
      <c r="D14" s="4" t="e">
        <f t="shared" ca="1" si="1"/>
        <v>#NAME?</v>
      </c>
      <c r="E14" s="5" t="e">
        <f t="shared" ca="1" si="2"/>
        <v>#NAME?</v>
      </c>
    </row>
    <row r="15" spans="1:6" ht="15.75">
      <c r="A15" s="2">
        <v>0.81699999999999995</v>
      </c>
      <c r="B15" s="2">
        <v>0.29599999999999999</v>
      </c>
      <c r="C15" s="3" t="e">
        <f t="shared" ca="1" si="0"/>
        <v>#NAME?</v>
      </c>
      <c r="D15" s="4" t="e">
        <f t="shared" ca="1" si="1"/>
        <v>#NAME?</v>
      </c>
      <c r="E15" s="5" t="e">
        <f t="shared" ca="1" si="2"/>
        <v>#NAME?</v>
      </c>
    </row>
    <row r="16" spans="1:6" ht="15.75">
      <c r="A16" s="2">
        <v>0.90400000000000003</v>
      </c>
      <c r="B16" s="2">
        <v>0.46500000000000002</v>
      </c>
      <c r="C16" s="3" t="e">
        <f t="shared" ca="1" si="0"/>
        <v>#NAME?</v>
      </c>
      <c r="D16" s="4" t="e">
        <f t="shared" ca="1" si="1"/>
        <v>#NAME?</v>
      </c>
      <c r="E16" s="5" t="e">
        <f t="shared" ca="1" si="2"/>
        <v>#NAME?</v>
      </c>
    </row>
    <row r="17" spans="1:10" ht="15.75">
      <c r="A17" s="2">
        <v>0.99199999999999999</v>
      </c>
      <c r="B17" s="2">
        <v>0.59299999999999997</v>
      </c>
      <c r="C17" s="3" t="e">
        <f t="shared" ca="1" si="0"/>
        <v>#NAME?</v>
      </c>
      <c r="D17" s="4" t="e">
        <f t="shared" ca="1" si="1"/>
        <v>#NAME?</v>
      </c>
      <c r="E17" s="5" t="e">
        <f t="shared" ca="1" si="2"/>
        <v>#NAME?</v>
      </c>
    </row>
    <row r="18" spans="1:10" ht="15.75">
      <c r="A18" s="2">
        <v>1.079</v>
      </c>
      <c r="B18" s="2">
        <v>0.68500000000000005</v>
      </c>
      <c r="C18" s="3" t="e">
        <f t="shared" ca="1" si="0"/>
        <v>#NAME?</v>
      </c>
      <c r="D18" s="4" t="e">
        <f t="shared" ca="1" si="1"/>
        <v>#NAME?</v>
      </c>
      <c r="E18" s="5" t="e">
        <f t="shared" ca="1" si="2"/>
        <v>#NAME?</v>
      </c>
    </row>
    <row r="19" spans="1:10" ht="15.75">
      <c r="A19" s="2">
        <v>1.1659999999999999</v>
      </c>
      <c r="B19" s="2">
        <v>0.76400000000000001</v>
      </c>
      <c r="C19" s="3" t="e">
        <f t="shared" ca="1" si="0"/>
        <v>#NAME?</v>
      </c>
      <c r="D19" s="4" t="e">
        <f t="shared" ca="1" si="1"/>
        <v>#NAME?</v>
      </c>
      <c r="E19" s="5" t="e">
        <f t="shared" ca="1" si="2"/>
        <v>#NAME?</v>
      </c>
    </row>
    <row r="20" spans="1:10" ht="15.75">
      <c r="A20" s="2">
        <v>1.2529999999999999</v>
      </c>
      <c r="B20" s="2">
        <v>0.80600000000000005</v>
      </c>
      <c r="C20" s="3" t="e">
        <f t="shared" ca="1" si="0"/>
        <v>#NAME?</v>
      </c>
      <c r="D20" s="4" t="e">
        <f t="shared" ca="1" si="1"/>
        <v>#NAME?</v>
      </c>
      <c r="E20" s="5" t="e">
        <f t="shared" ca="1" si="2"/>
        <v>#NAME?</v>
      </c>
    </row>
    <row r="21" spans="1:10" ht="15.75">
      <c r="A21" s="2">
        <v>1.34</v>
      </c>
      <c r="B21" s="2">
        <v>0.85</v>
      </c>
      <c r="C21" s="3" t="e">
        <f t="shared" ca="1" si="0"/>
        <v>#NAME?</v>
      </c>
      <c r="D21" s="4" t="e">
        <f t="shared" ca="1" si="1"/>
        <v>#NAME?</v>
      </c>
      <c r="E21" s="5" t="e">
        <f t="shared" ca="1" si="2"/>
        <v>#NAME?</v>
      </c>
    </row>
    <row r="22" spans="1:10" ht="15.75">
      <c r="A22" s="2">
        <v>1.4279999999999999</v>
      </c>
      <c r="B22" s="2">
        <v>0.90100000000000002</v>
      </c>
      <c r="C22" s="3" t="e">
        <f t="shared" ca="1" si="0"/>
        <v>#NAME?</v>
      </c>
      <c r="D22" s="4" t="e">
        <f t="shared" ca="1" si="1"/>
        <v>#NAME?</v>
      </c>
      <c r="E22" s="5" t="e">
        <f t="shared" ca="1" si="2"/>
        <v>#NAME?</v>
      </c>
    </row>
    <row r="23" spans="1:10" ht="15.75">
      <c r="A23" s="2">
        <v>1.5580000000000001</v>
      </c>
      <c r="B23" s="2">
        <v>0.91500000000000004</v>
      </c>
      <c r="C23" s="3" t="e">
        <f t="shared" ca="1" si="0"/>
        <v>#NAME?</v>
      </c>
      <c r="D23" s="4" t="e">
        <f t="shared" ca="1" si="1"/>
        <v>#NAME?</v>
      </c>
      <c r="E23" s="5" t="e">
        <f t="shared" ca="1" si="2"/>
        <v>#NAME?</v>
      </c>
    </row>
    <row r="24" spans="1:10" ht="15.75">
      <c r="A24" s="2">
        <v>1.6459999999999999</v>
      </c>
      <c r="B24" s="2">
        <v>0.92300000000000004</v>
      </c>
      <c r="C24" s="3" t="e">
        <f t="shared" ca="1" si="0"/>
        <v>#NAME?</v>
      </c>
      <c r="D24" s="4" t="e">
        <f t="shared" ca="1" si="1"/>
        <v>#NAME?</v>
      </c>
      <c r="E24" s="5" t="e">
        <f t="shared" ca="1" si="2"/>
        <v>#NAME?</v>
      </c>
      <c r="H24" t="s">
        <v>17</v>
      </c>
      <c r="J24" t="s">
        <v>18</v>
      </c>
    </row>
    <row r="25" spans="1:10" ht="15.75">
      <c r="A25" s="2">
        <v>1.754</v>
      </c>
      <c r="B25" s="2">
        <v>0.94699999999999995</v>
      </c>
      <c r="C25" s="3" t="e">
        <f t="shared" ca="1" si="0"/>
        <v>#NAME?</v>
      </c>
      <c r="D25" s="4" t="e">
        <f t="shared" ca="1" si="1"/>
        <v>#NAME?</v>
      </c>
      <c r="E25" s="5" t="e">
        <f t="shared" ca="1" si="2"/>
        <v>#NAME?</v>
      </c>
    </row>
    <row r="26" spans="1:10" ht="15.75">
      <c r="A26" s="2">
        <v>2.016</v>
      </c>
      <c r="B26" s="2">
        <v>0.96699999999999997</v>
      </c>
      <c r="C26" s="3" t="e">
        <f t="shared" ca="1" si="0"/>
        <v>#NAME?</v>
      </c>
      <c r="D26" s="4" t="e">
        <f t="shared" ca="1" si="1"/>
        <v>#NAME?</v>
      </c>
      <c r="E26" s="5" t="e">
        <f t="shared" ca="1" si="2"/>
        <v>#NAME?</v>
      </c>
      <c r="G26" t="s">
        <v>19</v>
      </c>
      <c r="H26" t="s">
        <v>20</v>
      </c>
    </row>
    <row r="27" spans="1:10" ht="15.75">
      <c r="A27" s="2">
        <v>2.6040000000000001</v>
      </c>
      <c r="B27" s="2">
        <v>0.98099999999999998</v>
      </c>
      <c r="C27" s="3" t="e">
        <f t="shared" ca="1" si="0"/>
        <v>#NAME?</v>
      </c>
      <c r="D27" s="4" t="e">
        <f t="shared" ca="1" si="1"/>
        <v>#NAME?</v>
      </c>
      <c r="E27" s="5" t="e">
        <f t="shared" ca="1" si="2"/>
        <v>#NAME?</v>
      </c>
    </row>
    <row r="28" spans="1:10" ht="15.75">
      <c r="A28" s="2">
        <v>3.125</v>
      </c>
      <c r="B28" s="2">
        <v>1</v>
      </c>
      <c r="C28" s="3" t="e">
        <f t="shared" ca="1" si="0"/>
        <v>#NAME?</v>
      </c>
      <c r="D28" s="4" t="e">
        <f t="shared" ca="1" si="1"/>
        <v>#NAME?</v>
      </c>
      <c r="E28" s="5" t="e">
        <f t="shared" ca="1" si="2"/>
        <v>#NAME?</v>
      </c>
    </row>
    <row r="29" spans="1:10" ht="15.75">
      <c r="A29" s="2">
        <v>3.3420000000000001</v>
      </c>
      <c r="B29" s="2">
        <v>0.98599999999999999</v>
      </c>
      <c r="C29" s="3" t="e">
        <f t="shared" ca="1" si="0"/>
        <v>#NAME?</v>
      </c>
      <c r="D29" s="4" t="e">
        <f t="shared" ca="1" si="1"/>
        <v>#NAME?</v>
      </c>
      <c r="E29" s="5" t="e">
        <f t="shared" ca="1" si="2"/>
        <v>#NAME?</v>
      </c>
    </row>
    <row r="30" spans="1:10" ht="15.75">
      <c r="A30" s="2">
        <v>3.516</v>
      </c>
      <c r="B30" s="2">
        <v>1.0149999999999999</v>
      </c>
      <c r="C30" s="3" t="e">
        <f t="shared" ca="1" si="0"/>
        <v>#NAME?</v>
      </c>
      <c r="D30" s="4" t="e">
        <f t="shared" ca="1" si="1"/>
        <v>#NAME?</v>
      </c>
      <c r="E30" s="5" t="e">
        <f t="shared" ca="1" si="2"/>
        <v>#NAME?</v>
      </c>
    </row>
    <row r="31" spans="1:10" ht="15.75">
      <c r="A31" s="2">
        <v>3.7120000000000002</v>
      </c>
      <c r="B31" s="2">
        <v>0.97099999999999997</v>
      </c>
      <c r="C31" s="3" t="e">
        <f t="shared" ca="1" si="0"/>
        <v>#NAME?</v>
      </c>
      <c r="D31" s="4" t="e">
        <f t="shared" ca="1" si="1"/>
        <v>#NAME?</v>
      </c>
      <c r="E31" s="5" t="e">
        <f t="shared" ca="1" si="2"/>
        <v>#NAME?</v>
      </c>
    </row>
    <row r="32" spans="1:10" ht="15.75">
      <c r="A32" s="2">
        <v>3.8420000000000001</v>
      </c>
      <c r="B32" s="2">
        <v>0.83799999999999997</v>
      </c>
      <c r="C32" s="3" t="e">
        <f t="shared" ca="1" si="0"/>
        <v>#NAME?</v>
      </c>
      <c r="D32" s="4" t="e">
        <f t="shared" ca="1" si="1"/>
        <v>#NAME?</v>
      </c>
      <c r="E32" s="5" t="e">
        <f t="shared" ca="1" si="2"/>
        <v>#NAME?</v>
      </c>
    </row>
    <row r="33" spans="1:5" ht="15.75">
      <c r="A33" s="2">
        <v>3.9510000000000001</v>
      </c>
      <c r="B33" s="2">
        <v>0.63800000000000001</v>
      </c>
      <c r="C33" s="3" t="e">
        <f t="shared" ca="1" si="0"/>
        <v>#NAME?</v>
      </c>
      <c r="D33" s="4" t="e">
        <f t="shared" ca="1" si="1"/>
        <v>#NAME?</v>
      </c>
      <c r="E33" s="5" t="e">
        <f t="shared" ca="1" si="2"/>
        <v>#NAME?</v>
      </c>
    </row>
    <row r="34" spans="1:5" ht="15.75">
      <c r="A34" s="2">
        <v>4.0380000000000003</v>
      </c>
      <c r="B34" s="2">
        <v>0.48</v>
      </c>
      <c r="C34" s="3" t="e">
        <f t="shared" ca="1" si="0"/>
        <v>#NAME?</v>
      </c>
      <c r="D34" s="4" t="e">
        <f t="shared" ca="1" si="1"/>
        <v>#NAME?</v>
      </c>
      <c r="E34" s="5" t="e">
        <f t="shared" ca="1" si="2"/>
        <v>#NAME?</v>
      </c>
    </row>
    <row r="35" spans="1:5" ht="15.75">
      <c r="A35" s="2">
        <v>4.125</v>
      </c>
      <c r="B35" s="2">
        <v>0.35299999999999998</v>
      </c>
      <c r="C35" s="3" t="e">
        <f t="shared" ca="1" si="0"/>
        <v>#NAME?</v>
      </c>
      <c r="D35" s="4" t="e">
        <f t="shared" ca="1" si="1"/>
        <v>#NAME?</v>
      </c>
      <c r="E35" s="5" t="e">
        <f t="shared" ca="1" si="2"/>
        <v>#NAME?</v>
      </c>
    </row>
    <row r="36" spans="1:5" ht="15.75">
      <c r="A36" s="2">
        <v>4.2549999999999999</v>
      </c>
      <c r="B36" s="2">
        <v>0.23599999999999999</v>
      </c>
      <c r="C36" s="3" t="e">
        <f t="shared" ca="1" si="0"/>
        <v>#NAME?</v>
      </c>
      <c r="D36" s="4" t="e">
        <f t="shared" ca="1" si="1"/>
        <v>#NAME?</v>
      </c>
      <c r="E36" s="5" t="e">
        <f t="shared" ca="1" si="2"/>
        <v>#NAME?</v>
      </c>
    </row>
    <row r="37" spans="1:5" ht="15.75">
      <c r="A37" s="2">
        <v>4.3860000000000001</v>
      </c>
      <c r="B37" s="2">
        <v>0.16600000000000001</v>
      </c>
      <c r="C37" s="3" t="e">
        <f t="shared" ca="1" si="0"/>
        <v>#NAME?</v>
      </c>
      <c r="D37" s="4" t="e">
        <f t="shared" ca="1" si="1"/>
        <v>#NAME?</v>
      </c>
      <c r="E37" s="5" t="e">
        <f t="shared" ca="1" si="2"/>
        <v>#NAME?</v>
      </c>
    </row>
    <row r="38" spans="1:5" ht="15.75">
      <c r="A38" s="2">
        <v>4.516</v>
      </c>
      <c r="B38" s="2">
        <v>0.11799999999999999</v>
      </c>
      <c r="C38" s="3" t="e">
        <f t="shared" ca="1" si="0"/>
        <v>#NAME?</v>
      </c>
      <c r="D38" s="4" t="e">
        <f t="shared" ca="1" si="1"/>
        <v>#NAME?</v>
      </c>
      <c r="E38" s="5" t="e">
        <f t="shared" ca="1" si="2"/>
        <v>#NAME?</v>
      </c>
    </row>
    <row r="39" spans="1:5" ht="15.75">
      <c r="A39" s="2">
        <v>4.7770000000000001</v>
      </c>
      <c r="B39" s="2">
        <v>6.6000000000000003E-2</v>
      </c>
      <c r="C39" s="3" t="e">
        <f t="shared" ca="1" si="0"/>
        <v>#NAME?</v>
      </c>
      <c r="D39" s="4" t="e">
        <f t="shared" ca="1" si="1"/>
        <v>#NAME?</v>
      </c>
      <c r="E39" s="5" t="e">
        <f t="shared" ca="1" si="2"/>
        <v>#NAME?</v>
      </c>
    </row>
    <row r="40" spans="1:5" ht="15.75">
      <c r="A40" s="2">
        <v>5.0369999999999999</v>
      </c>
      <c r="B40" s="2">
        <v>3.7999999999999999E-2</v>
      </c>
      <c r="C40" s="3" t="e">
        <f t="shared" ca="1" si="0"/>
        <v>#NAME?</v>
      </c>
      <c r="D40" s="4" t="e">
        <f t="shared" ca="1" si="1"/>
        <v>#NAME?</v>
      </c>
      <c r="E40" s="5" t="e">
        <f t="shared" ca="1" si="2"/>
        <v>#NAME?</v>
      </c>
    </row>
    <row r="41" spans="1:5" ht="15.75">
      <c r="A41" s="2">
        <v>5.3849999999999998</v>
      </c>
      <c r="B41" s="2">
        <v>1.7999999999999999E-2</v>
      </c>
      <c r="C41" s="3" t="e">
        <f t="shared" ca="1" si="0"/>
        <v>#NAME?</v>
      </c>
      <c r="D41" s="4" t="e">
        <f t="shared" ca="1" si="1"/>
        <v>#NAME?</v>
      </c>
      <c r="E41" s="5" t="e">
        <f t="shared" ca="1" si="2"/>
        <v>#NAME?</v>
      </c>
    </row>
    <row r="42" spans="1:5" ht="15.75">
      <c r="A42" s="2">
        <v>5.8179999999999996</v>
      </c>
      <c r="B42" s="2">
        <v>8.0000000000000002E-3</v>
      </c>
      <c r="C42" s="3" t="e">
        <f t="shared" ca="1" si="0"/>
        <v>#NAME?</v>
      </c>
      <c r="D42" s="4" t="e">
        <f t="shared" ca="1" si="1"/>
        <v>#NAME?</v>
      </c>
      <c r="E42" s="5" t="e">
        <f t="shared" ca="1" si="2"/>
        <v>#NAME?</v>
      </c>
    </row>
    <row r="43" spans="1:5" ht="15.75">
      <c r="A43" s="2">
        <v>6.2510000000000003</v>
      </c>
      <c r="B43" s="2">
        <v>4.0000000000000001E-3</v>
      </c>
      <c r="C43" s="3" t="e">
        <f t="shared" ca="1" si="0"/>
        <v>#NAME?</v>
      </c>
      <c r="D43" s="4" t="e">
        <f t="shared" ca="1" si="1"/>
        <v>#NAME?</v>
      </c>
      <c r="E43" s="5" t="e">
        <f t="shared" ca="1" si="2"/>
        <v>#NAME?</v>
      </c>
    </row>
    <row r="44" spans="1:5" ht="15.75">
      <c r="A44" s="2">
        <v>6.7910000000000004</v>
      </c>
      <c r="B44" s="2">
        <v>2E-3</v>
      </c>
      <c r="C44" s="3" t="e">
        <f t="shared" ca="1" si="0"/>
        <v>#NAME?</v>
      </c>
      <c r="D44" s="4" t="e">
        <f t="shared" ca="1" si="1"/>
        <v>#NAME?</v>
      </c>
      <c r="E44" s="5" t="e">
        <f t="shared" ca="1" si="2"/>
        <v>#NAME?</v>
      </c>
    </row>
    <row r="45" spans="1:5" ht="15.75">
      <c r="A45" s="2">
        <v>7.3310000000000004</v>
      </c>
      <c r="B45" s="2">
        <v>6.0000000000000001E-3</v>
      </c>
      <c r="C45" s="3" t="e">
        <f t="shared" ca="1" si="0"/>
        <v>#NAME?</v>
      </c>
      <c r="D45" s="4" t="e">
        <f t="shared" ca="1" si="1"/>
        <v>#NAME?</v>
      </c>
      <c r="E45" s="5" t="e">
        <f t="shared" ca="1" si="2"/>
        <v>#NAME?</v>
      </c>
    </row>
    <row r="46" spans="1:5" ht="15.75">
      <c r="A46" s="2">
        <v>7.4390000000000001</v>
      </c>
      <c r="B46" s="2">
        <v>2.9999999999999997E-4</v>
      </c>
      <c r="C46" s="3" t="e">
        <f t="shared" ca="1" si="0"/>
        <v>#NAME?</v>
      </c>
      <c r="D46" s="4" t="e">
        <f t="shared" ca="1" si="1"/>
        <v>#NAME?</v>
      </c>
      <c r="E46" s="5" t="e">
        <f t="shared" ca="1" si="2"/>
        <v>#NAME?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>
      <selection activeCell="J12" sqref="J12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Guoping Tang</dc:creator>
  <cp:keywords/>
  <dc:description/>
  <cp:lastModifiedBy>Francesca Celsa Giacobbo</cp:lastModifiedBy>
  <cp:revision/>
  <dcterms:created xsi:type="dcterms:W3CDTF">2009-12-10T03:07:46Z</dcterms:created>
  <dcterms:modified xsi:type="dcterms:W3CDTF">2024-05-02T16:52:37Z</dcterms:modified>
  <cp:category/>
  <cp:contentStatus/>
</cp:coreProperties>
</file>
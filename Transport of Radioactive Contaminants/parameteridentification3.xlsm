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501b08fbb1c1b91/Desktop/Ric/Università/5 ANNO/TRANSPORT OF RADIOACTIVE CONTAMINANTS/Labs/"/>
    </mc:Choice>
  </mc:AlternateContent>
  <xr:revisionPtr revIDLastSave="6082" documentId="11_19AE1AB27E682BA60D15F98D7E00C28832982BD3" xr6:coauthVersionLast="47" xr6:coauthVersionMax="47" xr10:uidLastSave="{E2F0F92F-CD2D-4868-A282-6413ECDBE2DD}"/>
  <bookViews>
    <workbookView xWindow="-120" yWindow="-120" windowWidth="29040" windowHeight="1572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ObjFuncCell" localSheetId="0">Sheet1!$F$1</definedName>
    <definedName name="ParameterRange" localSheetId="0">Sheet1!$B$6</definedName>
    <definedName name="PredictionRange" localSheetId="0">Sheet1!$C$11:$C$45</definedName>
    <definedName name="solver_adj" localSheetId="0" hidden="1">Sheet1!$B$3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Sheet1!$B$3</definedName>
    <definedName name="solver_lhs2" localSheetId="0" hidden="1">Sheet1!$B$3</definedName>
    <definedName name="solver_lhs3" localSheetId="0" hidden="1">Sheet1!$B$6</definedName>
    <definedName name="solver_lhs4" localSheetId="0" hidden="1">Sheet1!$B$6</definedName>
    <definedName name="solver_lhs5" localSheetId="0" hidden="1">Sheet1!$B$6</definedName>
    <definedName name="solver_mip" localSheetId="0" hidden="1">2147483647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Sheet1!$F$1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3</definedName>
    <definedName name="solver_rhs1" localSheetId="0" hidden="1">100</definedName>
    <definedName name="solver_rhs2" localSheetId="0" hidden="1">1</definedName>
    <definedName name="solver_rhs3" localSheetId="0" hidden="1">Sheet1!$D$6</definedName>
    <definedName name="solver_rhs4" localSheetId="0" hidden="1">Sheet1!$C$6</definedName>
    <definedName name="solver_rhs5" localSheetId="0" hidden="1">Sheet1!$C$6</definedName>
    <definedName name="solver_rlx" localSheetId="0" hidden="1">2</definedName>
    <definedName name="solver_scl" localSheetId="0" hidden="1">2</definedName>
    <definedName name="solver_sho" localSheetId="0" hidden="1">2</definedName>
    <definedName name="solver_ssz" localSheetId="0" hidden="1">0</definedName>
    <definedName name="solver_tim" localSheetId="0" hidden="1">2147483647</definedName>
    <definedName name="solver_tol" localSheetId="0" hidden="1">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" l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33" i="1"/>
  <c r="C40" i="1"/>
  <c r="C33" i="1"/>
  <c r="C35" i="1"/>
  <c r="C32" i="1"/>
  <c r="C13" i="1"/>
  <c r="C21" i="1"/>
  <c r="C41" i="1"/>
  <c r="C31" i="1"/>
  <c r="C24" i="1"/>
  <c r="C14" i="1"/>
  <c r="C39" i="1"/>
  <c r="C23" i="1"/>
  <c r="C22" i="1"/>
  <c r="C11" i="1"/>
  <c r="C20" i="1"/>
  <c r="C17" i="1"/>
  <c r="C18" i="1"/>
  <c r="C36" i="1"/>
  <c r="C26" i="1"/>
  <c r="C38" i="1"/>
  <c r="C27" i="1"/>
  <c r="C19" i="1"/>
  <c r="C25" i="1"/>
  <c r="C44" i="1"/>
  <c r="C30" i="1"/>
  <c r="C15" i="1"/>
  <c r="C43" i="1"/>
  <c r="C16" i="1"/>
  <c r="C28" i="1"/>
  <c r="C34" i="1"/>
  <c r="C42" i="1"/>
  <c r="C37" i="1"/>
  <c r="C29" i="1"/>
  <c r="C45" i="1"/>
  <c r="D34" i="1" l="1"/>
  <c r="E34" i="1" s="1"/>
  <c r="D16" i="1"/>
  <c r="E16" i="1" s="1"/>
  <c r="D36" i="1"/>
  <c r="E36" i="1" s="1"/>
  <c r="D39" i="1"/>
  <c r="E39" i="1" s="1"/>
  <c r="D24" i="1"/>
  <c r="E24" i="1" s="1"/>
  <c r="D25" i="1"/>
  <c r="E25" i="1" s="1"/>
  <c r="D33" i="1"/>
  <c r="E33" i="1" s="1"/>
  <c r="D37" i="1"/>
  <c r="E37" i="1" s="1"/>
  <c r="D38" i="1"/>
  <c r="E38" i="1" s="1"/>
  <c r="D43" i="1"/>
  <c r="E43" i="1" s="1"/>
  <c r="D18" i="1"/>
  <c r="E18" i="1" s="1"/>
  <c r="D14" i="1"/>
  <c r="E14" i="1" s="1"/>
  <c r="D31" i="1"/>
  <c r="E31" i="1" s="1"/>
  <c r="D45" i="1"/>
  <c r="E45" i="1" s="1"/>
  <c r="D29" i="1"/>
  <c r="E29" i="1" s="1"/>
  <c r="D42" i="1"/>
  <c r="E42" i="1" s="1"/>
  <c r="D28" i="1"/>
  <c r="E28" i="1" s="1"/>
  <c r="D15" i="1"/>
  <c r="E15" i="1" s="1"/>
  <c r="D17" i="1"/>
  <c r="E17" i="1" s="1"/>
  <c r="D22" i="1"/>
  <c r="E22" i="1" s="1"/>
  <c r="D41" i="1"/>
  <c r="E41" i="1" s="1"/>
  <c r="D12" i="1"/>
  <c r="E12" i="1" s="1"/>
  <c r="D19" i="1"/>
  <c r="E19" i="1" s="1"/>
  <c r="D27" i="1"/>
  <c r="E27" i="1" s="1"/>
  <c r="D11" i="1"/>
  <c r="D26" i="1"/>
  <c r="E26" i="1" s="1"/>
  <c r="D30" i="1"/>
  <c r="E30" i="1" s="1"/>
  <c r="D20" i="1"/>
  <c r="E20" i="1" s="1"/>
  <c r="D23" i="1"/>
  <c r="E23" i="1" s="1"/>
  <c r="D21" i="1"/>
  <c r="E21" i="1" s="1"/>
  <c r="D13" i="1"/>
  <c r="E13" i="1" s="1"/>
  <c r="D32" i="1"/>
  <c r="E32" i="1" s="1"/>
  <c r="D35" i="1"/>
  <c r="E35" i="1" s="1"/>
  <c r="D40" i="1"/>
  <c r="E40" i="1" s="1"/>
  <c r="D44" i="1"/>
  <c r="E44" i="1" s="1"/>
  <c r="E11" i="1" l="1"/>
  <c r="F1" i="1"/>
</calcChain>
</file>

<file path=xl/sharedStrings.xml><?xml version="1.0" encoding="utf-8"?>
<sst xmlns="http://schemas.openxmlformats.org/spreadsheetml/2006/main" count="24" uniqueCount="24">
  <si>
    <t>SSR</t>
  </si>
  <si>
    <t>L</t>
  </si>
  <si>
    <t xml:space="preserve">cm </t>
  </si>
  <si>
    <t>v</t>
  </si>
  <si>
    <t>cm /min</t>
  </si>
  <si>
    <t>pore velocity</t>
  </si>
  <si>
    <t>T0</t>
  </si>
  <si>
    <t>pore volume</t>
  </si>
  <si>
    <t>source time interval</t>
  </si>
  <si>
    <t>Min</t>
  </si>
  <si>
    <t>Max</t>
  </si>
  <si>
    <t>alfa</t>
  </si>
  <si>
    <t>dispersivity cm</t>
  </si>
  <si>
    <t>PV</t>
  </si>
  <si>
    <t>C/C0</t>
  </si>
  <si>
    <t>prediction</t>
  </si>
  <si>
    <t>residuals</t>
  </si>
  <si>
    <t xml:space="preserve">PV= pore volume </t>
  </si>
  <si>
    <t>PV=t/T= t*Vd/(L*n)</t>
  </si>
  <si>
    <t>meaning :</t>
  </si>
  <si>
    <t>Time as a multiple of  time required by the water content to cross the column (T)</t>
  </si>
  <si>
    <t>pore volume(incorrect)</t>
  </si>
  <si>
    <t>pore volume (correct)</t>
  </si>
  <si>
    <t>???? Provare con più punti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</si>
</sst>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00000000000"/>
  </numFmts>
  <fonts count="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i/>
      <sz val="12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1" fillId="0" borderId="0" xfId="1"/>
    <xf numFmtId="0" fontId="2" fillId="0" borderId="0" xfId="0" applyFont="1"/>
    <xf numFmtId="164" fontId="2" fillId="0" borderId="0" xfId="0" applyNumberFormat="1" applyFont="1"/>
    <xf numFmtId="165" fontId="0" fillId="0" borderId="0" xfId="0" applyNumberFormat="1"/>
    <xf numFmtId="165" fontId="2" fillId="0" borderId="0" xfId="0" applyNumberFormat="1" applyFont="1"/>
    <xf numFmtId="0" fontId="0" fillId="2" borderId="0" xfId="0" applyFill="1"/>
    <xf numFmtId="0" fontId="0" fillId="3" borderId="0" xfId="0" applyFill="1"/>
  </cellXfs>
  <cellStyles count="2">
    <cellStyle name="Normal" xfId="0" builtinId="0"/>
    <cellStyle name="Normale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exp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Sheet1!$A$11:$A$45</c:f>
              <c:numCache>
                <c:formatCode>General</c:formatCode>
                <c:ptCount val="35"/>
                <c:pt idx="0">
                  <c:v>0</c:v>
                </c:pt>
                <c:pt idx="1">
                  <c:v>0.15976102825786001</c:v>
                </c:pt>
                <c:pt idx="2">
                  <c:v>0.31952205651572002</c:v>
                </c:pt>
                <c:pt idx="3">
                  <c:v>0.48427561690663801</c:v>
                </c:pt>
                <c:pt idx="4">
                  <c:v>0.64403664516449799</c:v>
                </c:pt>
                <c:pt idx="5">
                  <c:v>0.80379767342235797</c:v>
                </c:pt>
                <c:pt idx="6">
                  <c:v>0.96855123381327601</c:v>
                </c:pt>
                <c:pt idx="7">
                  <c:v>1.1283122620711299</c:v>
                </c:pt>
                <c:pt idx="8">
                  <c:v>1.28807329032899</c:v>
                </c:pt>
                <c:pt idx="9">
                  <c:v>1.45282685071991</c:v>
                </c:pt>
                <c:pt idx="10">
                  <c:v>1.6125878789777701</c:v>
                </c:pt>
                <c:pt idx="11">
                  <c:v>1.7723489072356302</c:v>
                </c:pt>
                <c:pt idx="12">
                  <c:v>1.9371024676265498</c:v>
                </c:pt>
                <c:pt idx="13">
                  <c:v>2.0968634958844099</c:v>
                </c:pt>
                <c:pt idx="14">
                  <c:v>2.25662452414227</c:v>
                </c:pt>
                <c:pt idx="15">
                  <c:v>2.42137808453319</c:v>
                </c:pt>
                <c:pt idx="16">
                  <c:v>2.5811391127910501</c:v>
                </c:pt>
                <c:pt idx="17">
                  <c:v>2.74589267318196</c:v>
                </c:pt>
                <c:pt idx="18">
                  <c:v>2.90565370143982</c:v>
                </c:pt>
                <c:pt idx="19">
                  <c:v>3.0654147296976797</c:v>
                </c:pt>
                <c:pt idx="20">
                  <c:v>3.2301682900886002</c:v>
                </c:pt>
                <c:pt idx="21">
                  <c:v>3.3899293183464598</c:v>
                </c:pt>
                <c:pt idx="22">
                  <c:v>3.5496903466043199</c:v>
                </c:pt>
                <c:pt idx="23">
                  <c:v>3.71444390699524</c:v>
                </c:pt>
                <c:pt idx="24">
                  <c:v>3.8742049352530996</c:v>
                </c:pt>
                <c:pt idx="25">
                  <c:v>4.0339659635109602</c:v>
                </c:pt>
                <c:pt idx="26">
                  <c:v>4.1987195239018806</c:v>
                </c:pt>
                <c:pt idx="27">
                  <c:v>4.3584805521597403</c:v>
                </c:pt>
                <c:pt idx="28">
                  <c:v>4.5182415804175999</c:v>
                </c:pt>
                <c:pt idx="29">
                  <c:v>4.6829951408085204</c:v>
                </c:pt>
                <c:pt idx="30">
                  <c:v>4.8427561690663801</c:v>
                </c:pt>
                <c:pt idx="31">
                  <c:v>5.0025171973242397</c:v>
                </c:pt>
                <c:pt idx="32">
                  <c:v>5.1672707577151602</c:v>
                </c:pt>
                <c:pt idx="33">
                  <c:v>5.3270317859730199</c:v>
                </c:pt>
                <c:pt idx="34">
                  <c:v>5.4917853463639297</c:v>
                </c:pt>
              </c:numCache>
            </c:numRef>
          </c:xVal>
          <c:yVal>
            <c:numRef>
              <c:f>Sheet1!$B$11:$B$45</c:f>
              <c:numCache>
                <c:formatCode>General</c:formatCode>
                <c:ptCount val="35"/>
                <c:pt idx="0">
                  <c:v>7.4813674409469596E-4</c:v>
                </c:pt>
                <c:pt idx="1">
                  <c:v>4.3630392465613901E-4</c:v>
                </c:pt>
                <c:pt idx="2">
                  <c:v>7.4813674409469596E-4</c:v>
                </c:pt>
                <c:pt idx="3">
                  <c:v>7.4813674409469596E-4</c:v>
                </c:pt>
                <c:pt idx="4">
                  <c:v>1.68457268537742E-3</c:v>
                </c:pt>
                <c:pt idx="5">
                  <c:v>4.1676082491880699E-2</c:v>
                </c:pt>
                <c:pt idx="6">
                  <c:v>0.39322880668064197</c:v>
                </c:pt>
                <c:pt idx="7">
                  <c:v>0.82417395106494895</c:v>
                </c:pt>
                <c:pt idx="8">
                  <c:v>0.96825766231184196</c:v>
                </c:pt>
                <c:pt idx="9">
                  <c:v>0.99168196552417098</c:v>
                </c:pt>
                <c:pt idx="10">
                  <c:v>0.99229432247126403</c:v>
                </c:pt>
                <c:pt idx="11">
                  <c:v>0.99690628389471303</c:v>
                </c:pt>
                <c:pt idx="12">
                  <c:v>0.99752379944923797</c:v>
                </c:pt>
                <c:pt idx="13">
                  <c:v>0.99752379944923797</c:v>
                </c:pt>
                <c:pt idx="14">
                  <c:v>0.99845122181373902</c:v>
                </c:pt>
                <c:pt idx="15">
                  <c:v>0.99752379944923797</c:v>
                </c:pt>
                <c:pt idx="16">
                  <c:v>0.99690628389471303</c:v>
                </c:pt>
                <c:pt idx="17">
                  <c:v>0.99752379944923797</c:v>
                </c:pt>
                <c:pt idx="18">
                  <c:v>0.99690628389471303</c:v>
                </c:pt>
                <c:pt idx="19">
                  <c:v>0.99845122181373902</c:v>
                </c:pt>
                <c:pt idx="20">
                  <c:v>0.94625093298306096</c:v>
                </c:pt>
                <c:pt idx="21">
                  <c:v>0.61512884928954603</c:v>
                </c:pt>
                <c:pt idx="22">
                  <c:v>0.18124400423116199</c:v>
                </c:pt>
                <c:pt idx="23">
                  <c:v>3.4061789602144898E-2</c:v>
                </c:pt>
                <c:pt idx="24">
                  <c:v>1.1698295049160199E-2</c:v>
                </c:pt>
                <c:pt idx="25">
                  <c:v>7.01779261910946E-3</c:v>
                </c:pt>
                <c:pt idx="26">
                  <c:v>5.0674434273881297E-3</c:v>
                </c:pt>
                <c:pt idx="27">
                  <c:v>3.37371221830174E-3</c:v>
                </c:pt>
                <c:pt idx="28">
                  <c:v>2.8727488598452602E-3</c:v>
                </c:pt>
                <c:pt idx="29">
                  <c:v>1.24739409734151E-3</c:v>
                </c:pt>
                <c:pt idx="30">
                  <c:v>7.4813674409469596E-4</c:v>
                </c:pt>
                <c:pt idx="31">
                  <c:v>7.4813674409469596E-4</c:v>
                </c:pt>
                <c:pt idx="32">
                  <c:v>7.4813674409469596E-4</c:v>
                </c:pt>
                <c:pt idx="33">
                  <c:v>4.3630392465613901E-4</c:v>
                </c:pt>
                <c:pt idx="34">
                  <c:v>-9.3390945815567097E-4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3D-4A0F-99F0-8603DA8E7E2A}"/>
            </c:ext>
          </c:extLst>
        </c:ser>
        <c:ser>
          <c:idx val="1"/>
          <c:order val="1"/>
          <c:tx>
            <c:v>prediction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Sheet1!$A$11:$A$45</c:f>
              <c:numCache>
                <c:formatCode>General</c:formatCode>
                <c:ptCount val="35"/>
                <c:pt idx="0">
                  <c:v>0</c:v>
                </c:pt>
                <c:pt idx="1">
                  <c:v>0.15976102825786001</c:v>
                </c:pt>
                <c:pt idx="2">
                  <c:v>0.31952205651572002</c:v>
                </c:pt>
                <c:pt idx="3">
                  <c:v>0.48427561690663801</c:v>
                </c:pt>
                <c:pt idx="4">
                  <c:v>0.64403664516449799</c:v>
                </c:pt>
                <c:pt idx="5">
                  <c:v>0.80379767342235797</c:v>
                </c:pt>
                <c:pt idx="6">
                  <c:v>0.96855123381327601</c:v>
                </c:pt>
                <c:pt idx="7">
                  <c:v>1.1283122620711299</c:v>
                </c:pt>
                <c:pt idx="8">
                  <c:v>1.28807329032899</c:v>
                </c:pt>
                <c:pt idx="9">
                  <c:v>1.45282685071991</c:v>
                </c:pt>
                <c:pt idx="10">
                  <c:v>1.6125878789777701</c:v>
                </c:pt>
                <c:pt idx="11">
                  <c:v>1.7723489072356302</c:v>
                </c:pt>
                <c:pt idx="12">
                  <c:v>1.9371024676265498</c:v>
                </c:pt>
                <c:pt idx="13">
                  <c:v>2.0968634958844099</c:v>
                </c:pt>
                <c:pt idx="14">
                  <c:v>2.25662452414227</c:v>
                </c:pt>
                <c:pt idx="15">
                  <c:v>2.42137808453319</c:v>
                </c:pt>
                <c:pt idx="16">
                  <c:v>2.5811391127910501</c:v>
                </c:pt>
                <c:pt idx="17">
                  <c:v>2.74589267318196</c:v>
                </c:pt>
                <c:pt idx="18">
                  <c:v>2.90565370143982</c:v>
                </c:pt>
                <c:pt idx="19">
                  <c:v>3.0654147296976797</c:v>
                </c:pt>
                <c:pt idx="20">
                  <c:v>3.2301682900886002</c:v>
                </c:pt>
                <c:pt idx="21">
                  <c:v>3.3899293183464598</c:v>
                </c:pt>
                <c:pt idx="22">
                  <c:v>3.5496903466043199</c:v>
                </c:pt>
                <c:pt idx="23">
                  <c:v>3.71444390699524</c:v>
                </c:pt>
                <c:pt idx="24">
                  <c:v>3.8742049352530996</c:v>
                </c:pt>
                <c:pt idx="25">
                  <c:v>4.0339659635109602</c:v>
                </c:pt>
                <c:pt idx="26">
                  <c:v>4.1987195239018806</c:v>
                </c:pt>
                <c:pt idx="27">
                  <c:v>4.3584805521597403</c:v>
                </c:pt>
                <c:pt idx="28">
                  <c:v>4.5182415804175999</c:v>
                </c:pt>
                <c:pt idx="29">
                  <c:v>4.6829951408085204</c:v>
                </c:pt>
                <c:pt idx="30">
                  <c:v>4.8427561690663801</c:v>
                </c:pt>
                <c:pt idx="31">
                  <c:v>5.0025171973242397</c:v>
                </c:pt>
                <c:pt idx="32">
                  <c:v>5.1672707577151602</c:v>
                </c:pt>
                <c:pt idx="33">
                  <c:v>5.3270317859730199</c:v>
                </c:pt>
                <c:pt idx="34">
                  <c:v>5.4917853463639297</c:v>
                </c:pt>
              </c:numCache>
            </c:numRef>
          </c:xVal>
          <c:yVal>
            <c:numRef>
              <c:f>Sheet1!$C$11:$C$45</c:f>
              <c:numCache>
                <c:formatCode>General</c:formatCode>
                <c:ptCount val="35"/>
                <c:pt idx="0">
                  <c:v>0</c:v>
                </c:pt>
                <c:pt idx="1">
                  <c:v>2.3039307773534992E-60</c:v>
                </c:pt>
                <c:pt idx="2">
                  <c:v>6.0043774558617063E-21</c:v>
                </c:pt>
                <c:pt idx="3">
                  <c:v>5.6116939136668825E-9</c:v>
                </c:pt>
                <c:pt idx="4">
                  <c:v>3.4634254403433996E-4</c:v>
                </c:pt>
                <c:pt idx="5">
                  <c:v>5.0373791514257103E-2</c:v>
                </c:pt>
                <c:pt idx="6">
                  <c:v>0.42664731292294567</c:v>
                </c:pt>
                <c:pt idx="7">
                  <c:v>0.84261986433912728</c:v>
                </c:pt>
                <c:pt idx="8">
                  <c:v>0.97940818610966829</c:v>
                </c:pt>
                <c:pt idx="9">
                  <c:v>0.99860948044082953</c:v>
                </c:pt>
                <c:pt idx="10">
                  <c:v>0.99993384610176583</c:v>
                </c:pt>
                <c:pt idx="11">
                  <c:v>0.99999771230632661</c:v>
                </c:pt>
                <c:pt idx="12">
                  <c:v>0.99999994481221466</c:v>
                </c:pt>
                <c:pt idx="13">
                  <c:v>0.99999999877008061</c:v>
                </c:pt>
                <c:pt idx="14">
                  <c:v>0.9999999999763951</c:v>
                </c:pt>
                <c:pt idx="15">
                  <c:v>0.99999999999964695</c:v>
                </c:pt>
                <c:pt idx="16">
                  <c:v>0.99999999999999456</c:v>
                </c:pt>
                <c:pt idx="17">
                  <c:v>1</c:v>
                </c:pt>
                <c:pt idx="18">
                  <c:v>0.99999995685247201</c:v>
                </c:pt>
                <c:pt idx="19">
                  <c:v>0.99913261092035366</c:v>
                </c:pt>
                <c:pt idx="20">
                  <c:v>0.91749100957852647</c:v>
                </c:pt>
                <c:pt idx="21">
                  <c:v>0.50589919050678633</c:v>
                </c:pt>
                <c:pt idx="22">
                  <c:v>0.12469496077031228</c:v>
                </c:pt>
                <c:pt idx="23">
                  <c:v>1.3870667976667472E-2</c:v>
                </c:pt>
                <c:pt idx="24">
                  <c:v>9.4559444362507517E-4</c:v>
                </c:pt>
                <c:pt idx="25">
                  <c:v>4.2878128149625994E-5</c:v>
                </c:pt>
                <c:pt idx="26">
                  <c:v>1.2802714521864544E-6</c:v>
                </c:pt>
                <c:pt idx="27">
                  <c:v>3.3505031749037073E-8</c:v>
                </c:pt>
                <c:pt idx="28">
                  <c:v>7.3043704418296329E-10</c:v>
                </c:pt>
                <c:pt idx="29">
                  <c:v>1.2142287175720412E-11</c:v>
                </c:pt>
                <c:pt idx="30">
                  <c:v>2.0305979120394113E-13</c:v>
                </c:pt>
                <c:pt idx="31">
                  <c:v>3.1086244689504383E-15</c:v>
                </c:pt>
                <c:pt idx="32">
                  <c:v>1.1102230246251565E-16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3D-4A0F-99F0-8603DA8E7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933151"/>
        <c:axId val="1689938143"/>
      </c:scatterChart>
      <c:valAx>
        <c:axId val="1689933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938143"/>
        <c:crosses val="autoZero"/>
        <c:crossBetween val="midCat"/>
      </c:valAx>
      <c:valAx>
        <c:axId val="1689938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9933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1057275</xdr:colOff>
      <xdr:row>4</xdr:row>
      <xdr:rowOff>42862</xdr:rowOff>
    </xdr:from>
    <xdr:to>
      <xdr:col>12</xdr:col>
      <xdr:colOff>333375</xdr:colOff>
      <xdr:row>18</xdr:row>
      <xdr:rowOff>42862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7"/>
  <sheetViews>
    <sheetView tabSelected="1" workbookViewId="0">
      <selection activeCell="F3" sqref="F3"/>
    </sheetView>
  </sheetViews>
  <sheetFormatPr defaultRowHeight="15" x14ac:dyDescent="0.25"/>
  <cols>
    <col min="3" max="3" width="12.7109375" customWidth="1"/>
    <col min="4" max="4" width="15.28515625" customWidth="1"/>
    <col min="5" max="5" width="24.7109375" bestFit="1" customWidth="1"/>
    <col min="6" max="6" width="24.5703125" bestFit="1" customWidth="1"/>
    <col min="8" max="8" width="21" customWidth="1"/>
    <col min="9" max="9" width="19.7109375" customWidth="1"/>
  </cols>
  <sheetData>
    <row r="1" spans="1:6" ht="15.75" x14ac:dyDescent="0.25">
      <c r="E1" t="s">
        <v>0</v>
      </c>
      <c r="F1" s="5">
        <f xml:space="preserve"> SUMSQ(D11:D45)</f>
        <v>1.8400728873406592E-2</v>
      </c>
    </row>
    <row r="2" spans="1:6" x14ac:dyDescent="0.25">
      <c r="A2" t="s">
        <v>1</v>
      </c>
      <c r="B2">
        <v>19.5</v>
      </c>
      <c r="C2" t="s">
        <v>2</v>
      </c>
    </row>
    <row r="3" spans="1:6" x14ac:dyDescent="0.25">
      <c r="A3" t="s">
        <v>3</v>
      </c>
      <c r="B3" s="7">
        <v>1.0191759966501321</v>
      </c>
      <c r="C3" t="s">
        <v>4</v>
      </c>
      <c r="D3" t="s">
        <v>5</v>
      </c>
      <c r="E3" t="s">
        <v>23</v>
      </c>
    </row>
    <row r="4" spans="1:6" x14ac:dyDescent="0.25">
      <c r="A4" t="s">
        <v>6</v>
      </c>
      <c r="B4">
        <v>2.4</v>
      </c>
      <c r="C4" t="s">
        <v>7</v>
      </c>
      <c r="E4" t="s">
        <v>8</v>
      </c>
    </row>
    <row r="5" spans="1:6" x14ac:dyDescent="0.25">
      <c r="C5" t="s">
        <v>9</v>
      </c>
      <c r="D5" t="s">
        <v>10</v>
      </c>
    </row>
    <row r="6" spans="1:6" x14ac:dyDescent="0.25">
      <c r="A6" t="s">
        <v>11</v>
      </c>
      <c r="B6">
        <v>0.16749</v>
      </c>
      <c r="C6">
        <v>1.0000000000000001E-5</v>
      </c>
      <c r="D6">
        <v>100</v>
      </c>
      <c r="E6" t="s">
        <v>12</v>
      </c>
    </row>
    <row r="10" spans="1:6" x14ac:dyDescent="0.25">
      <c r="A10" s="1" t="s">
        <v>13</v>
      </c>
      <c r="B10" s="1" t="s">
        <v>14</v>
      </c>
      <c r="C10" t="s">
        <v>15</v>
      </c>
      <c r="D10" t="s">
        <v>16</v>
      </c>
    </row>
    <row r="11" spans="1:6" ht="15.75" x14ac:dyDescent="0.25">
      <c r="A11">
        <f>H33/10</f>
        <v>0</v>
      </c>
      <c r="B11">
        <v>7.4813674409469596E-4</v>
      </c>
      <c r="C11" s="2">
        <f xml:space="preserve"> CDE($B$3,A11,$B$4,$B$3,$B$6/$B$2)</f>
        <v>0</v>
      </c>
      <c r="D11" s="3">
        <f>B11-C11</f>
        <v>7.4813674409469596E-4</v>
      </c>
      <c r="E11" s="4">
        <f>D11^2</f>
        <v>5.5970858786461262E-7</v>
      </c>
    </row>
    <row r="12" spans="1:6" ht="15.75" x14ac:dyDescent="0.25">
      <c r="A12">
        <f t="shared" ref="A12:A45" si="0">H34/10</f>
        <v>0.15976102825786001</v>
      </c>
      <c r="B12">
        <v>4.3630392465613901E-4</v>
      </c>
      <c r="C12" s="2">
        <f t="shared" ref="C12:C45" si="1" xml:space="preserve"> CDE($B$3,A12,$B$4,$B$3,$B$6/$B$2)</f>
        <v>2.3039307773534992E-60</v>
      </c>
      <c r="D12" s="3">
        <f t="shared" ref="D12:D45" si="2">B12-C12</f>
        <v>4.3630392465613901E-4</v>
      </c>
      <c r="E12" s="4">
        <f t="shared" ref="E12:E45" si="3">D12^2</f>
        <v>1.9036111467034982E-7</v>
      </c>
    </row>
    <row r="13" spans="1:6" ht="15.75" x14ac:dyDescent="0.25">
      <c r="A13">
        <f t="shared" si="0"/>
        <v>0.31952205651572002</v>
      </c>
      <c r="B13">
        <v>7.4813674409469596E-4</v>
      </c>
      <c r="C13" s="2">
        <f t="shared" si="1"/>
        <v>6.0043774558617063E-21</v>
      </c>
      <c r="D13" s="3">
        <f t="shared" si="2"/>
        <v>7.4813674409469596E-4</v>
      </c>
      <c r="E13" s="4">
        <f t="shared" si="3"/>
        <v>5.5970858786461262E-7</v>
      </c>
    </row>
    <row r="14" spans="1:6" ht="15.75" x14ac:dyDescent="0.25">
      <c r="A14">
        <f t="shared" si="0"/>
        <v>0.48427561690663801</v>
      </c>
      <c r="B14">
        <v>7.4813674409469596E-4</v>
      </c>
      <c r="C14" s="2">
        <f t="shared" si="1"/>
        <v>5.6116939136668825E-9</v>
      </c>
      <c r="D14" s="3">
        <f t="shared" si="2"/>
        <v>7.4813113240078226E-4</v>
      </c>
      <c r="E14" s="4">
        <f t="shared" si="3"/>
        <v>5.5970019126727677E-7</v>
      </c>
    </row>
    <row r="15" spans="1:6" ht="15.75" x14ac:dyDescent="0.25">
      <c r="A15">
        <f t="shared" si="0"/>
        <v>0.64403664516449799</v>
      </c>
      <c r="B15">
        <v>1.68457268537742E-3</v>
      </c>
      <c r="C15" s="2">
        <f t="shared" si="1"/>
        <v>3.4634254403433996E-4</v>
      </c>
      <c r="D15" s="3">
        <f t="shared" si="2"/>
        <v>1.3382301413430802E-3</v>
      </c>
      <c r="E15" s="4">
        <f t="shared" si="3"/>
        <v>1.7908599111991203E-6</v>
      </c>
    </row>
    <row r="16" spans="1:6" ht="15.75" x14ac:dyDescent="0.25">
      <c r="A16">
        <f t="shared" si="0"/>
        <v>0.80379767342235797</v>
      </c>
      <c r="B16">
        <v>4.1676082491880699E-2</v>
      </c>
      <c r="C16" s="2">
        <f t="shared" si="1"/>
        <v>5.0373791514257103E-2</v>
      </c>
      <c r="D16" s="3">
        <f t="shared" si="2"/>
        <v>-8.6977090223764042E-3</v>
      </c>
      <c r="E16" s="4">
        <f t="shared" si="3"/>
        <v>7.5650142237927907E-5</v>
      </c>
    </row>
    <row r="17" spans="1:10" ht="15.75" x14ac:dyDescent="0.25">
      <c r="A17">
        <f t="shared" si="0"/>
        <v>0.96855123381327601</v>
      </c>
      <c r="B17">
        <v>0.39322880668064197</v>
      </c>
      <c r="C17" s="2">
        <f t="shared" si="1"/>
        <v>0.42664731292294567</v>
      </c>
      <c r="D17" s="3">
        <f t="shared" si="2"/>
        <v>-3.3418506242303692E-2</v>
      </c>
      <c r="E17" s="4">
        <f t="shared" si="3"/>
        <v>1.1167965594668908E-3</v>
      </c>
    </row>
    <row r="18" spans="1:10" ht="15.75" x14ac:dyDescent="0.25">
      <c r="A18">
        <f t="shared" si="0"/>
        <v>1.1283122620711299</v>
      </c>
      <c r="B18">
        <v>0.82417395106494895</v>
      </c>
      <c r="C18" s="2">
        <f t="shared" si="1"/>
        <v>0.84261986433912728</v>
      </c>
      <c r="D18" s="3">
        <f t="shared" si="2"/>
        <v>-1.8445913274178327E-2</v>
      </c>
      <c r="E18" s="4">
        <f t="shared" si="3"/>
        <v>3.4025171651850823E-4</v>
      </c>
    </row>
    <row r="19" spans="1:10" ht="15.75" x14ac:dyDescent="0.25">
      <c r="A19">
        <f t="shared" si="0"/>
        <v>1.28807329032899</v>
      </c>
      <c r="B19">
        <v>0.96825766231184196</v>
      </c>
      <c r="C19" s="2">
        <f t="shared" si="1"/>
        <v>0.97940818610966829</v>
      </c>
      <c r="D19" s="3">
        <f t="shared" si="2"/>
        <v>-1.1150523797826328E-2</v>
      </c>
      <c r="E19" s="4">
        <f t="shared" si="3"/>
        <v>1.2433418096589129E-4</v>
      </c>
    </row>
    <row r="20" spans="1:10" ht="15.75" x14ac:dyDescent="0.25">
      <c r="A20">
        <f t="shared" si="0"/>
        <v>1.45282685071991</v>
      </c>
      <c r="B20">
        <v>0.99168196552417098</v>
      </c>
      <c r="C20" s="2">
        <f t="shared" si="1"/>
        <v>0.99860948044082953</v>
      </c>
      <c r="D20" s="3">
        <f t="shared" si="2"/>
        <v>-6.9275149166585503E-3</v>
      </c>
      <c r="E20" s="4">
        <f t="shared" si="3"/>
        <v>4.799046292052672E-5</v>
      </c>
    </row>
    <row r="21" spans="1:10" ht="15.75" x14ac:dyDescent="0.25">
      <c r="A21">
        <f t="shared" si="0"/>
        <v>1.6125878789777701</v>
      </c>
      <c r="B21">
        <v>0.99229432247126403</v>
      </c>
      <c r="C21" s="2">
        <f t="shared" si="1"/>
        <v>0.99993384610176583</v>
      </c>
      <c r="D21" s="3">
        <f t="shared" si="2"/>
        <v>-7.6395236305017988E-3</v>
      </c>
      <c r="E21" s="4">
        <f t="shared" si="3"/>
        <v>5.8362321300995387E-5</v>
      </c>
    </row>
    <row r="22" spans="1:10" ht="15.75" x14ac:dyDescent="0.25">
      <c r="A22">
        <f t="shared" si="0"/>
        <v>1.7723489072356302</v>
      </c>
      <c r="B22">
        <v>0.99690628389471303</v>
      </c>
      <c r="C22" s="2">
        <f t="shared" si="1"/>
        <v>0.99999771230632661</v>
      </c>
      <c r="D22" s="3">
        <f t="shared" si="2"/>
        <v>-3.0914284116135837E-3</v>
      </c>
      <c r="E22" s="4">
        <f t="shared" si="3"/>
        <v>9.5569296241316846E-6</v>
      </c>
    </row>
    <row r="23" spans="1:10" ht="15.75" x14ac:dyDescent="0.25">
      <c r="A23">
        <f t="shared" si="0"/>
        <v>1.9371024676265498</v>
      </c>
      <c r="B23">
        <v>0.99752379944923797</v>
      </c>
      <c r="C23" s="2">
        <f t="shared" si="1"/>
        <v>0.99999994481221466</v>
      </c>
      <c r="D23" s="3">
        <f t="shared" si="2"/>
        <v>-2.4761453629766894E-3</v>
      </c>
      <c r="E23" s="4">
        <f t="shared" si="3"/>
        <v>6.1312958585909606E-6</v>
      </c>
    </row>
    <row r="24" spans="1:10" ht="15.75" x14ac:dyDescent="0.25">
      <c r="A24">
        <f t="shared" si="0"/>
        <v>2.0968634958844099</v>
      </c>
      <c r="B24">
        <v>0.99752379944923797</v>
      </c>
      <c r="C24" s="2">
        <f t="shared" si="1"/>
        <v>0.99999999877008061</v>
      </c>
      <c r="D24" s="3">
        <f t="shared" si="2"/>
        <v>-2.4761993208426425E-3</v>
      </c>
      <c r="E24" s="4">
        <f t="shared" si="3"/>
        <v>6.1315630765415643E-6</v>
      </c>
      <c r="H24" t="s">
        <v>17</v>
      </c>
      <c r="J24" t="s">
        <v>18</v>
      </c>
    </row>
    <row r="25" spans="1:10" ht="15.75" x14ac:dyDescent="0.25">
      <c r="A25">
        <f t="shared" si="0"/>
        <v>2.25662452414227</v>
      </c>
      <c r="B25">
        <v>0.99845122181373902</v>
      </c>
      <c r="C25" s="2">
        <f t="shared" si="1"/>
        <v>0.9999999999763951</v>
      </c>
      <c r="D25" s="3">
        <f t="shared" si="2"/>
        <v>-1.5487781626560837E-3</v>
      </c>
      <c r="E25" s="4">
        <f t="shared" si="3"/>
        <v>2.3987137971203545E-6</v>
      </c>
    </row>
    <row r="26" spans="1:10" ht="15.75" x14ac:dyDescent="0.25">
      <c r="A26">
        <f t="shared" si="0"/>
        <v>2.42137808453319</v>
      </c>
      <c r="B26">
        <v>0.99752379944923797</v>
      </c>
      <c r="C26" s="2">
        <f t="shared" si="1"/>
        <v>0.99999999999964695</v>
      </c>
      <c r="D26" s="3">
        <f t="shared" si="2"/>
        <v>-2.4762005504089801E-3</v>
      </c>
      <c r="E26" s="4">
        <f t="shared" si="3"/>
        <v>6.1315691658457359E-6</v>
      </c>
      <c r="G26" t="s">
        <v>19</v>
      </c>
      <c r="H26" t="s">
        <v>20</v>
      </c>
    </row>
    <row r="27" spans="1:10" ht="15.75" x14ac:dyDescent="0.25">
      <c r="A27">
        <f t="shared" si="0"/>
        <v>2.5811391127910501</v>
      </c>
      <c r="B27">
        <v>0.99690628389471303</v>
      </c>
      <c r="C27" s="2">
        <f t="shared" si="1"/>
        <v>0.99999999999999456</v>
      </c>
      <c r="D27" s="3">
        <f t="shared" si="2"/>
        <v>-3.0937161052815298E-3</v>
      </c>
      <c r="E27" s="4">
        <f t="shared" si="3"/>
        <v>9.5710793400783173E-6</v>
      </c>
    </row>
    <row r="28" spans="1:10" ht="15.75" x14ac:dyDescent="0.25">
      <c r="A28">
        <f t="shared" si="0"/>
        <v>2.74589267318196</v>
      </c>
      <c r="B28">
        <v>0.99752379944923797</v>
      </c>
      <c r="C28" s="2">
        <f t="shared" si="1"/>
        <v>1</v>
      </c>
      <c r="D28" s="3">
        <f t="shared" si="2"/>
        <v>-2.476200550762031E-3</v>
      </c>
      <c r="E28" s="4">
        <f t="shared" si="3"/>
        <v>6.1315691675941855E-6</v>
      </c>
    </row>
    <row r="29" spans="1:10" ht="15.75" x14ac:dyDescent="0.25">
      <c r="A29">
        <f t="shared" si="0"/>
        <v>2.90565370143982</v>
      </c>
      <c r="B29">
        <v>0.99690628389471303</v>
      </c>
      <c r="C29" s="2">
        <f t="shared" si="1"/>
        <v>0.99999995685247201</v>
      </c>
      <c r="D29" s="3">
        <f t="shared" si="2"/>
        <v>-3.093672957758975E-3</v>
      </c>
      <c r="E29" s="4">
        <f t="shared" si="3"/>
        <v>9.5708123695691648E-6</v>
      </c>
    </row>
    <row r="30" spans="1:10" ht="15.75" x14ac:dyDescent="0.25">
      <c r="A30">
        <f t="shared" si="0"/>
        <v>3.0654147296976797</v>
      </c>
      <c r="B30">
        <v>0.99845122181373902</v>
      </c>
      <c r="C30" s="2">
        <f t="shared" si="1"/>
        <v>0.99913261092035366</v>
      </c>
      <c r="D30" s="3">
        <f t="shared" si="2"/>
        <v>-6.8138910661463825E-4</v>
      </c>
      <c r="E30" s="4">
        <f t="shared" si="3"/>
        <v>4.6429111461309484E-7</v>
      </c>
    </row>
    <row r="31" spans="1:10" ht="15.75" x14ac:dyDescent="0.25">
      <c r="A31">
        <f t="shared" si="0"/>
        <v>3.2301682900886002</v>
      </c>
      <c r="B31">
        <v>0.94625093298306096</v>
      </c>
      <c r="C31" s="2">
        <f t="shared" si="1"/>
        <v>0.91749100957852647</v>
      </c>
      <c r="D31" s="3">
        <f t="shared" si="2"/>
        <v>2.8759923404534482E-2</v>
      </c>
      <c r="E31" s="4">
        <f t="shared" si="3"/>
        <v>8.2713319423469026E-4</v>
      </c>
      <c r="H31" t="s">
        <v>21</v>
      </c>
      <c r="I31" t="s">
        <v>22</v>
      </c>
    </row>
    <row r="32" spans="1:10" ht="15.75" x14ac:dyDescent="0.25">
      <c r="A32">
        <f t="shared" si="0"/>
        <v>3.3899293183464598</v>
      </c>
      <c r="B32">
        <v>0.61512884928954603</v>
      </c>
      <c r="C32" s="2">
        <f t="shared" si="1"/>
        <v>0.50589919050678633</v>
      </c>
      <c r="D32" s="3">
        <f t="shared" si="2"/>
        <v>0.1092296587827597</v>
      </c>
      <c r="E32" s="4">
        <f t="shared" si="3"/>
        <v>1.1931118357798113E-2</v>
      </c>
    </row>
    <row r="33" spans="1:9" ht="15.75" x14ac:dyDescent="0.25">
      <c r="A33">
        <f t="shared" si="0"/>
        <v>3.5496903466043199</v>
      </c>
      <c r="B33">
        <v>0.18124400423116199</v>
      </c>
      <c r="C33" s="2">
        <f t="shared" si="1"/>
        <v>0.12469496077031228</v>
      </c>
      <c r="D33" s="3">
        <f t="shared" si="2"/>
        <v>5.6549043460849713E-2</v>
      </c>
      <c r="E33" s="4">
        <f t="shared" si="3"/>
        <v>3.1977943163370697E-3</v>
      </c>
      <c r="H33">
        <v>0</v>
      </c>
      <c r="I33" s="6">
        <f>H33/10</f>
        <v>0</v>
      </c>
    </row>
    <row r="34" spans="1:9" ht="15.75" x14ac:dyDescent="0.25">
      <c r="A34">
        <f t="shared" si="0"/>
        <v>3.71444390699524</v>
      </c>
      <c r="B34">
        <v>3.4061789602144898E-2</v>
      </c>
      <c r="C34" s="2">
        <f t="shared" si="1"/>
        <v>1.3870667976667472E-2</v>
      </c>
      <c r="D34" s="3">
        <f t="shared" si="2"/>
        <v>2.0191121625477426E-2</v>
      </c>
      <c r="E34" s="4">
        <f t="shared" si="3"/>
        <v>4.076813924948222E-4</v>
      </c>
      <c r="H34">
        <v>1.5976102825786</v>
      </c>
      <c r="I34" s="6">
        <f t="shared" ref="I34:I67" si="4">H34/10</f>
        <v>0.15976102825786001</v>
      </c>
    </row>
    <row r="35" spans="1:9" ht="15.75" x14ac:dyDescent="0.25">
      <c r="A35">
        <f t="shared" si="0"/>
        <v>3.8742049352530996</v>
      </c>
      <c r="B35">
        <v>1.1698295049160199E-2</v>
      </c>
      <c r="C35" s="2">
        <f t="shared" si="1"/>
        <v>9.4559444362507517E-4</v>
      </c>
      <c r="D35" s="3">
        <f t="shared" si="2"/>
        <v>1.0752700605535124E-2</v>
      </c>
      <c r="E35" s="4">
        <f t="shared" si="3"/>
        <v>1.1562057031227543E-4</v>
      </c>
      <c r="H35">
        <v>3.1952205651572001</v>
      </c>
      <c r="I35" s="6">
        <f t="shared" si="4"/>
        <v>0.31952205651572002</v>
      </c>
    </row>
    <row r="36" spans="1:9" ht="15.75" x14ac:dyDescent="0.25">
      <c r="A36">
        <f t="shared" si="0"/>
        <v>4.0339659635109602</v>
      </c>
      <c r="B36">
        <v>7.01779261910946E-3</v>
      </c>
      <c r="C36" s="2">
        <f t="shared" si="1"/>
        <v>4.2878128149625994E-5</v>
      </c>
      <c r="D36" s="3">
        <f t="shared" si="2"/>
        <v>6.974914490959834E-3</v>
      </c>
      <c r="E36" s="4">
        <f t="shared" si="3"/>
        <v>4.8649432156201478E-5</v>
      </c>
      <c r="H36">
        <v>4.8427561690663801</v>
      </c>
      <c r="I36" s="6">
        <f t="shared" si="4"/>
        <v>0.48427561690663801</v>
      </c>
    </row>
    <row r="37" spans="1:9" ht="15.75" x14ac:dyDescent="0.25">
      <c r="A37">
        <f t="shared" si="0"/>
        <v>4.1987195239018806</v>
      </c>
      <c r="B37">
        <v>5.0674434273881297E-3</v>
      </c>
      <c r="C37" s="2">
        <f t="shared" si="1"/>
        <v>1.2802714521864544E-6</v>
      </c>
      <c r="D37" s="3">
        <f t="shared" si="2"/>
        <v>5.0661631559359432E-3</v>
      </c>
      <c r="E37" s="4">
        <f t="shared" si="3"/>
        <v>2.5666009122562838E-5</v>
      </c>
      <c r="H37">
        <v>6.4403664516449801</v>
      </c>
      <c r="I37" s="6">
        <f t="shared" si="4"/>
        <v>0.64403664516449799</v>
      </c>
    </row>
    <row r="38" spans="1:9" ht="15.75" x14ac:dyDescent="0.25">
      <c r="A38">
        <f t="shared" si="0"/>
        <v>4.3584805521597403</v>
      </c>
      <c r="B38">
        <v>3.37371221830174E-3</v>
      </c>
      <c r="C38" s="2">
        <f t="shared" si="1"/>
        <v>3.3505031749037073E-8</v>
      </c>
      <c r="D38" s="3">
        <f t="shared" si="2"/>
        <v>3.373678713269991E-3</v>
      </c>
      <c r="E38" s="4">
        <f t="shared" si="3"/>
        <v>1.1381708060371062E-5</v>
      </c>
      <c r="H38">
        <v>8.0379767342235802</v>
      </c>
      <c r="I38" s="6">
        <f t="shared" si="4"/>
        <v>0.80379767342235797</v>
      </c>
    </row>
    <row r="39" spans="1:9" ht="15.75" x14ac:dyDescent="0.25">
      <c r="A39">
        <f t="shared" si="0"/>
        <v>4.5182415804175999</v>
      </c>
      <c r="B39">
        <v>2.8727488598452602E-3</v>
      </c>
      <c r="C39" s="2">
        <f t="shared" si="1"/>
        <v>7.3043704418296329E-10</v>
      </c>
      <c r="D39" s="3">
        <f t="shared" si="2"/>
        <v>2.872748129408216E-3</v>
      </c>
      <c r="E39" s="4">
        <f t="shared" si="3"/>
        <v>8.2526818150184047E-6</v>
      </c>
      <c r="H39">
        <v>9.6855123381327601</v>
      </c>
      <c r="I39" s="6">
        <f t="shared" si="4"/>
        <v>0.96855123381327601</v>
      </c>
    </row>
    <row r="40" spans="1:9" ht="15.75" x14ac:dyDescent="0.25">
      <c r="A40">
        <f t="shared" si="0"/>
        <v>4.6829951408085204</v>
      </c>
      <c r="B40">
        <v>1.24739409734151E-3</v>
      </c>
      <c r="C40" s="2">
        <f t="shared" si="1"/>
        <v>1.2142287175720412E-11</v>
      </c>
      <c r="D40" s="3">
        <f t="shared" si="2"/>
        <v>1.2473940851992229E-3</v>
      </c>
      <c r="E40" s="4">
        <f t="shared" si="3"/>
        <v>1.5559920037900061E-6</v>
      </c>
      <c r="H40">
        <v>11.2831226207113</v>
      </c>
      <c r="I40" s="6">
        <f t="shared" si="4"/>
        <v>1.1283122620711299</v>
      </c>
    </row>
    <row r="41" spans="1:9" ht="15.75" x14ac:dyDescent="0.25">
      <c r="A41">
        <f t="shared" si="0"/>
        <v>4.8427561690663801</v>
      </c>
      <c r="B41">
        <v>7.4813674409469596E-4</v>
      </c>
      <c r="C41" s="2">
        <f t="shared" si="1"/>
        <v>2.0305979120394113E-13</v>
      </c>
      <c r="D41" s="3">
        <f t="shared" si="2"/>
        <v>7.4813674389163616E-4</v>
      </c>
      <c r="E41" s="4">
        <f t="shared" si="3"/>
        <v>5.5970858756077958E-7</v>
      </c>
      <c r="H41">
        <v>12.8807329032899</v>
      </c>
      <c r="I41" s="6">
        <f t="shared" si="4"/>
        <v>1.28807329032899</v>
      </c>
    </row>
    <row r="42" spans="1:9" ht="15.75" x14ac:dyDescent="0.25">
      <c r="A42">
        <f t="shared" si="0"/>
        <v>5.0025171973242397</v>
      </c>
      <c r="B42">
        <v>7.4813674409469596E-4</v>
      </c>
      <c r="C42" s="2">
        <f t="shared" si="1"/>
        <v>3.1086244689504383E-15</v>
      </c>
      <c r="D42" s="3">
        <f t="shared" si="2"/>
        <v>7.4813674409158733E-4</v>
      </c>
      <c r="E42" s="4">
        <f t="shared" si="3"/>
        <v>5.5970858785996125E-7</v>
      </c>
      <c r="H42">
        <v>14.528268507199099</v>
      </c>
      <c r="I42" s="6">
        <f t="shared" si="4"/>
        <v>1.45282685071991</v>
      </c>
    </row>
    <row r="43" spans="1:9" ht="15.75" x14ac:dyDescent="0.25">
      <c r="A43">
        <f t="shared" si="0"/>
        <v>5.1672707577151602</v>
      </c>
      <c r="B43">
        <v>7.4813674409469596E-4</v>
      </c>
      <c r="C43" s="2">
        <f t="shared" si="1"/>
        <v>1.1102230246251565E-16</v>
      </c>
      <c r="D43" s="3">
        <f t="shared" si="2"/>
        <v>7.4813674409458493E-4</v>
      </c>
      <c r="E43" s="4">
        <f t="shared" si="3"/>
        <v>5.597085878644465E-7</v>
      </c>
      <c r="H43">
        <v>16.125878789777701</v>
      </c>
      <c r="I43" s="6">
        <f t="shared" si="4"/>
        <v>1.6125878789777701</v>
      </c>
    </row>
    <row r="44" spans="1:9" ht="15.75" x14ac:dyDescent="0.25">
      <c r="A44">
        <f t="shared" si="0"/>
        <v>5.3270317859730199</v>
      </c>
      <c r="B44">
        <v>4.3630392465613901E-4</v>
      </c>
      <c r="C44" s="2">
        <f t="shared" si="1"/>
        <v>0</v>
      </c>
      <c r="D44" s="3">
        <f t="shared" si="2"/>
        <v>4.3630392465613901E-4</v>
      </c>
      <c r="E44" s="4">
        <f t="shared" si="3"/>
        <v>1.9036111467034982E-7</v>
      </c>
      <c r="H44">
        <v>17.723489072356301</v>
      </c>
      <c r="I44" s="6">
        <f t="shared" si="4"/>
        <v>1.7723489072356302</v>
      </c>
    </row>
    <row r="45" spans="1:9" ht="15.75" x14ac:dyDescent="0.25">
      <c r="A45">
        <f t="shared" si="0"/>
        <v>5.4917853463639297</v>
      </c>
      <c r="B45">
        <v>-9.3390945815567097E-4</v>
      </c>
      <c r="C45" s="2">
        <f t="shared" si="1"/>
        <v>0</v>
      </c>
      <c r="D45" s="3">
        <f t="shared" si="2"/>
        <v>-9.3390945815567097E-4</v>
      </c>
      <c r="E45" s="4">
        <f t="shared" si="3"/>
        <v>8.7218687603261895E-7</v>
      </c>
      <c r="H45">
        <v>19.371024676265499</v>
      </c>
      <c r="I45" s="6">
        <f t="shared" si="4"/>
        <v>1.9371024676265498</v>
      </c>
    </row>
    <row r="46" spans="1:9" x14ac:dyDescent="0.25">
      <c r="H46">
        <v>20.968634958844099</v>
      </c>
      <c r="I46" s="6">
        <f t="shared" si="4"/>
        <v>2.0968634958844099</v>
      </c>
    </row>
    <row r="47" spans="1:9" x14ac:dyDescent="0.25">
      <c r="H47">
        <v>22.566245241422699</v>
      </c>
      <c r="I47" s="6">
        <f t="shared" si="4"/>
        <v>2.25662452414227</v>
      </c>
    </row>
    <row r="48" spans="1:9" x14ac:dyDescent="0.25">
      <c r="H48">
        <v>24.2137808453319</v>
      </c>
      <c r="I48" s="6">
        <f t="shared" si="4"/>
        <v>2.42137808453319</v>
      </c>
    </row>
    <row r="49" spans="8:9" x14ac:dyDescent="0.25">
      <c r="H49">
        <v>25.8113911279105</v>
      </c>
      <c r="I49" s="6">
        <f t="shared" si="4"/>
        <v>2.5811391127910501</v>
      </c>
    </row>
    <row r="50" spans="8:9" x14ac:dyDescent="0.25">
      <c r="H50">
        <v>27.458926731819599</v>
      </c>
      <c r="I50" s="6">
        <f t="shared" si="4"/>
        <v>2.74589267318196</v>
      </c>
    </row>
    <row r="51" spans="8:9" x14ac:dyDescent="0.25">
      <c r="H51">
        <v>29.056537014398199</v>
      </c>
      <c r="I51" s="6">
        <f t="shared" si="4"/>
        <v>2.90565370143982</v>
      </c>
    </row>
    <row r="52" spans="8:9" x14ac:dyDescent="0.25">
      <c r="H52">
        <v>30.654147296976799</v>
      </c>
      <c r="I52" s="6">
        <f t="shared" si="4"/>
        <v>3.0654147296976797</v>
      </c>
    </row>
    <row r="53" spans="8:9" x14ac:dyDescent="0.25">
      <c r="H53">
        <v>32.301682900886</v>
      </c>
      <c r="I53" s="6">
        <f t="shared" si="4"/>
        <v>3.2301682900886002</v>
      </c>
    </row>
    <row r="54" spans="8:9" x14ac:dyDescent="0.25">
      <c r="H54">
        <v>33.8992931834646</v>
      </c>
      <c r="I54" s="6">
        <f t="shared" si="4"/>
        <v>3.3899293183464598</v>
      </c>
    </row>
    <row r="55" spans="8:9" x14ac:dyDescent="0.25">
      <c r="H55">
        <v>35.4969034660432</v>
      </c>
      <c r="I55" s="6">
        <f t="shared" si="4"/>
        <v>3.5496903466043199</v>
      </c>
    </row>
    <row r="56" spans="8:9" x14ac:dyDescent="0.25">
      <c r="H56">
        <v>37.144439069952398</v>
      </c>
      <c r="I56" s="6">
        <f t="shared" si="4"/>
        <v>3.71444390699524</v>
      </c>
    </row>
    <row r="57" spans="8:9" x14ac:dyDescent="0.25">
      <c r="H57">
        <v>38.742049352530998</v>
      </c>
      <c r="I57" s="6">
        <f t="shared" si="4"/>
        <v>3.8742049352530996</v>
      </c>
    </row>
    <row r="58" spans="8:9" x14ac:dyDescent="0.25">
      <c r="H58">
        <v>40.339659635109598</v>
      </c>
      <c r="I58" s="6">
        <f t="shared" si="4"/>
        <v>4.0339659635109602</v>
      </c>
    </row>
    <row r="59" spans="8:9" x14ac:dyDescent="0.25">
      <c r="H59">
        <v>41.987195239018803</v>
      </c>
      <c r="I59" s="6">
        <f t="shared" si="4"/>
        <v>4.1987195239018806</v>
      </c>
    </row>
    <row r="60" spans="8:9" x14ac:dyDescent="0.25">
      <c r="H60">
        <v>43.584805521597403</v>
      </c>
      <c r="I60" s="6">
        <f t="shared" si="4"/>
        <v>4.3584805521597403</v>
      </c>
    </row>
    <row r="61" spans="8:9" x14ac:dyDescent="0.25">
      <c r="H61">
        <v>45.182415804176003</v>
      </c>
      <c r="I61" s="6">
        <f t="shared" si="4"/>
        <v>4.5182415804175999</v>
      </c>
    </row>
    <row r="62" spans="8:9" x14ac:dyDescent="0.25">
      <c r="H62">
        <v>46.829951408085201</v>
      </c>
      <c r="I62" s="6">
        <f t="shared" si="4"/>
        <v>4.6829951408085204</v>
      </c>
    </row>
    <row r="63" spans="8:9" x14ac:dyDescent="0.25">
      <c r="H63">
        <v>48.427561690663801</v>
      </c>
      <c r="I63" s="6">
        <f t="shared" si="4"/>
        <v>4.8427561690663801</v>
      </c>
    </row>
    <row r="64" spans="8:9" x14ac:dyDescent="0.25">
      <c r="H64">
        <v>50.025171973242401</v>
      </c>
      <c r="I64" s="6">
        <f t="shared" si="4"/>
        <v>5.0025171973242397</v>
      </c>
    </row>
    <row r="65" spans="8:9" x14ac:dyDescent="0.25">
      <c r="H65">
        <v>51.672707577151598</v>
      </c>
      <c r="I65" s="6">
        <f t="shared" si="4"/>
        <v>5.1672707577151602</v>
      </c>
    </row>
    <row r="66" spans="8:9" x14ac:dyDescent="0.25">
      <c r="H66">
        <v>53.270317859730199</v>
      </c>
      <c r="I66" s="6">
        <f t="shared" si="4"/>
        <v>5.3270317859730199</v>
      </c>
    </row>
    <row r="67" spans="8:9" x14ac:dyDescent="0.25">
      <c r="H67">
        <v>54.917853463639297</v>
      </c>
      <c r="I67" s="6">
        <f t="shared" si="4"/>
        <v>5.4917853463639297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J12" sqref="J1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Sheet1</vt:lpstr>
      <vt:lpstr>Sheet2</vt:lpstr>
      <vt:lpstr>Sheet3</vt:lpstr>
      <vt:lpstr>Sheet1!ObjFuncCell</vt:lpstr>
      <vt:lpstr>Sheet1!ParameterRange</vt:lpstr>
      <vt:lpstr>Sheet1!PredictionRange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Guoping Tang</dc:creator>
  <cp:keywords/>
  <dc:description/>
  <cp:lastModifiedBy>Riccardo Ronchi</cp:lastModifiedBy>
  <cp:revision/>
  <dcterms:created xsi:type="dcterms:W3CDTF">2009-12-10T03:07:46Z</dcterms:created>
  <dcterms:modified xsi:type="dcterms:W3CDTF">2025-04-29T08:41:29Z</dcterms:modified>
  <cp:category/>
  <cp:contentStatus/>
</cp:coreProperties>
</file>